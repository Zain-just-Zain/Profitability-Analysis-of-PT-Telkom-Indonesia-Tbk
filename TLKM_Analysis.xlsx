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All Project\TLKM Anlaysis Project\"/>
    </mc:Choice>
  </mc:AlternateContent>
  <xr:revisionPtr revIDLastSave="0" documentId="13_ncr:1_{D5BEA37F-B37A-4A95-B288-7A2F2129EC0D}" xr6:coauthVersionLast="47" xr6:coauthVersionMax="47" xr10:uidLastSave="{00000000-0000-0000-0000-000000000000}"/>
  <bookViews>
    <workbookView xWindow="-110" yWindow="-110" windowWidth="19420" windowHeight="11500" activeTab="6" xr2:uid="{C42A5A86-BF8D-45C6-A010-2531BDB83793}"/>
  </bookViews>
  <sheets>
    <sheet name="TLKM_financial_data_IDX" sheetId="9" r:id="rId1"/>
    <sheet name="IS" sheetId="3" r:id="rId2"/>
    <sheet name="BS" sheetId="4" r:id="rId3"/>
    <sheet name="CF" sheetId="5" r:id="rId4"/>
    <sheet name="YoY" sheetId="6" r:id="rId5"/>
    <sheet name="Ratio" sheetId="8" r:id="rId6"/>
    <sheet name="Sheet1" sheetId="10" r:id="rId7"/>
  </sheets>
  <definedNames>
    <definedName name="_xlnm._FilterDatabase" localSheetId="2" hidden="1">BS!$A$1:$G$95</definedName>
    <definedName name="_xlnm._FilterDatabase" localSheetId="1" hidden="1">IS!$A$1:$G$56</definedName>
    <definedName name="_xlnm._FilterDatabase" localSheetId="0" hidden="1">TLKM_financial_data_IDX!$A$1:$G$200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8" l="1"/>
  <c r="D15" i="8"/>
  <c r="E15" i="8"/>
  <c r="B15" i="8"/>
  <c r="C12" i="8"/>
  <c r="D12" i="8"/>
  <c r="E12" i="8"/>
  <c r="B16" i="8"/>
  <c r="B14" i="8"/>
  <c r="B13" i="8"/>
  <c r="B12" i="8"/>
  <c r="C27" i="8"/>
  <c r="B23" i="8"/>
  <c r="B27" i="8" s="1"/>
  <c r="C23" i="8"/>
  <c r="D23" i="8"/>
  <c r="D27" i="8" s="1"/>
  <c r="E23" i="8"/>
  <c r="E27" i="8" s="1"/>
  <c r="C28" i="8"/>
  <c r="D28" i="8"/>
  <c r="E28" i="8"/>
  <c r="C29" i="8"/>
  <c r="D29" i="8"/>
  <c r="E29" i="8"/>
  <c r="C25" i="8"/>
  <c r="D25" i="8"/>
  <c r="E25" i="8"/>
  <c r="C26" i="8"/>
  <c r="D26" i="8"/>
  <c r="E26" i="8"/>
  <c r="B26" i="8"/>
  <c r="B25" i="8"/>
  <c r="B29" i="8"/>
  <c r="B28" i="8"/>
  <c r="C16" i="8"/>
  <c r="D16" i="8"/>
  <c r="E16" i="8"/>
  <c r="H2" i="6"/>
  <c r="H4" i="6"/>
  <c r="G2" i="6"/>
  <c r="G3" i="6"/>
  <c r="H3" i="6"/>
  <c r="G4" i="6"/>
  <c r="G5" i="6"/>
  <c r="H5" i="6"/>
  <c r="G6" i="6"/>
  <c r="H6" i="6"/>
  <c r="G7" i="6"/>
  <c r="H7" i="6"/>
  <c r="G8" i="6"/>
  <c r="H8" i="6"/>
  <c r="G9" i="6"/>
  <c r="H9" i="6"/>
  <c r="G10" i="6"/>
  <c r="H10" i="6"/>
  <c r="F3" i="6"/>
  <c r="F4" i="6"/>
  <c r="F5" i="6"/>
  <c r="F6" i="6"/>
  <c r="F7" i="6"/>
  <c r="F8" i="6"/>
  <c r="F9" i="6"/>
  <c r="F10" i="6"/>
  <c r="F2" i="6"/>
</calcChain>
</file>

<file path=xl/sharedStrings.xml><?xml version="1.0" encoding="utf-8"?>
<sst xmlns="http://schemas.openxmlformats.org/spreadsheetml/2006/main" count="1269" uniqueCount="229">
  <si>
    <t>symbol</t>
  </si>
  <si>
    <t>account</t>
  </si>
  <si>
    <t>type</t>
  </si>
  <si>
    <t>Accounts Payable</t>
  </si>
  <si>
    <t>BS</t>
  </si>
  <si>
    <t>Accounts Receivable</t>
  </si>
  <si>
    <t>Accumulated Depreciation</t>
  </si>
  <si>
    <t>Additional Paid In Capital</t>
  </si>
  <si>
    <t>Allowance For Doubtful Accounts Receivable</t>
  </si>
  <si>
    <t>Basic Average Shares</t>
  </si>
  <si>
    <t>IS</t>
  </si>
  <si>
    <t>Basic EPS</t>
  </si>
  <si>
    <t>Beginning Cash Position</t>
  </si>
  <si>
    <t>CF</t>
  </si>
  <si>
    <t>Buildings And Improvements</t>
  </si>
  <si>
    <t>Capital Expenditure</t>
  </si>
  <si>
    <t>Capital Stock</t>
  </si>
  <si>
    <t>Cash And Cash Equivalents</t>
  </si>
  <si>
    <t>Cash Cash Equivalents And Short Term Investments</t>
  </si>
  <si>
    <t>Cash Dividends Paid</t>
  </si>
  <si>
    <t>Cash Equivalents</t>
  </si>
  <si>
    <t>Cash Financial</t>
  </si>
  <si>
    <t>Cash Flowsfromusedin Operating Activities Direct</t>
  </si>
  <si>
    <t>Changes In Cash</t>
  </si>
  <si>
    <t>Classesof Cash Payments</t>
  </si>
  <si>
    <t>Classesof Cash Receiptsfrom Operating Activities</t>
  </si>
  <si>
    <t>Common Stock</t>
  </si>
  <si>
    <t>Common Stock Dividend Paid</t>
  </si>
  <si>
    <t>Common Stock Equity</t>
  </si>
  <si>
    <t>Construction In Progress</t>
  </si>
  <si>
    <t>Cost Of Revenue</t>
  </si>
  <si>
    <t>Current Assets</t>
  </si>
  <si>
    <t>Current Debt</t>
  </si>
  <si>
    <t>Current Debt And Capital Lease Obligation</t>
  </si>
  <si>
    <t>Current Liabilities</t>
  </si>
  <si>
    <t>Depreciation And Amortization In Income Statement</t>
  </si>
  <si>
    <t>Diluted Average Shares</t>
  </si>
  <si>
    <t>Diluted EPS</t>
  </si>
  <si>
    <t>Diluted NI Availto Com Stockholders</t>
  </si>
  <si>
    <t>EBIT</t>
  </si>
  <si>
    <t>EBITDA</t>
  </si>
  <si>
    <t>Effect Of Exchange Rate Changes</t>
  </si>
  <si>
    <t>End Cash Position</t>
  </si>
  <si>
    <t>Financing Cash Flow</t>
  </si>
  <si>
    <t>Finished Goods</t>
  </si>
  <si>
    <t>Free Cash Flow</t>
  </si>
  <si>
    <t>General And Administrative Expense</t>
  </si>
  <si>
    <t>Goodwill</t>
  </si>
  <si>
    <t>Goodwill And Other Intangible Assets</t>
  </si>
  <si>
    <t>Gross Accounts Receivable</t>
  </si>
  <si>
    <t>Gross PPE</t>
  </si>
  <si>
    <t>Gross Profit</t>
  </si>
  <si>
    <t>Interest Expense</t>
  </si>
  <si>
    <t>Interest Expense Non Operating</t>
  </si>
  <si>
    <t>Interest Income</t>
  </si>
  <si>
    <t>Interest Income Non Operating</t>
  </si>
  <si>
    <t>Interest Received Direct</t>
  </si>
  <si>
    <t>Inventory</t>
  </si>
  <si>
    <t>Invested Capital</t>
  </si>
  <si>
    <t>Investing Cash Flow</t>
  </si>
  <si>
    <t>Issuance Of Debt</t>
  </si>
  <si>
    <t>Long Term Debt</t>
  </si>
  <si>
    <t>Long Term Debt And Capital Lease Obligation</t>
  </si>
  <si>
    <t>Long Term Debt Issuance</t>
  </si>
  <si>
    <t>Long Term Debt Payments</t>
  </si>
  <si>
    <t>Long Term Equity Investment</t>
  </si>
  <si>
    <t>Machinery Furniture Equipment</t>
  </si>
  <si>
    <t>Minority Interest</t>
  </si>
  <si>
    <t>Minority Interests</t>
  </si>
  <si>
    <t>Net Debt</t>
  </si>
  <si>
    <t>Net Income</t>
  </si>
  <si>
    <t>Net Income Common Stockholders</t>
  </si>
  <si>
    <t>Net Income Continuous Operations</t>
  </si>
  <si>
    <t>Net Income From Continuing And Discontinued Operation</t>
  </si>
  <si>
    <t>Net Income From Continuing Operation Net Minority Interest</t>
  </si>
  <si>
    <t>Net Income Including Noncontrolling Interests</t>
  </si>
  <si>
    <t>Net Interest Income</t>
  </si>
  <si>
    <t>Net Issuance Payments Of Debt</t>
  </si>
  <si>
    <t>Net Long Term Debt Issuance</t>
  </si>
  <si>
    <t>Net Non Operating Interest Income Expense</t>
  </si>
  <si>
    <t>Net Other Financing Charges</t>
  </si>
  <si>
    <t>Net Other Investing Changes</t>
  </si>
  <si>
    <t>Net PPE</t>
  </si>
  <si>
    <t>Net PPE Purchase And Sale</t>
  </si>
  <si>
    <t>Net Tangible Assets</t>
  </si>
  <si>
    <t>Non Current Deferred Taxes Assets</t>
  </si>
  <si>
    <t>Non Current Deferred Taxes Liabilities</t>
  </si>
  <si>
    <t>Non Current Pension And Other Postretirement Benefit Plans</t>
  </si>
  <si>
    <t>Normalized EBITDA</t>
  </si>
  <si>
    <t>Normalized Income</t>
  </si>
  <si>
    <t>Operating Expense</t>
  </si>
  <si>
    <t>Operating Income</t>
  </si>
  <si>
    <t>Operating Revenue</t>
  </si>
  <si>
    <t>Ordinary Shares Number</t>
  </si>
  <si>
    <t>Other Cash Paymentsfrom Operating Activities</t>
  </si>
  <si>
    <t>Other Inventories</t>
  </si>
  <si>
    <t>Other Non Current Assets</t>
  </si>
  <si>
    <t>Other Non Current Liabilities</t>
  </si>
  <si>
    <t>Other Non Operating Income Expenses</t>
  </si>
  <si>
    <t>Other Operating Expenses</t>
  </si>
  <si>
    <t>Other Payable</t>
  </si>
  <si>
    <t>Other Properties</t>
  </si>
  <si>
    <t>Other Receivables</t>
  </si>
  <si>
    <t>Payables</t>
  </si>
  <si>
    <t>Paymentsto Suppliersfor Goodsand Services</t>
  </si>
  <si>
    <t>Prepaid Assets</t>
  </si>
  <si>
    <t>Pretax Income</t>
  </si>
  <si>
    <t>Properties</t>
  </si>
  <si>
    <t>Purchase Of PPE</t>
  </si>
  <si>
    <t>Raw Materials</t>
  </si>
  <si>
    <t>Receiptsfrom Customers</t>
  </si>
  <si>
    <t>Reconciled Cost Of Revenue</t>
  </si>
  <si>
    <t>Reconciled Depreciation</t>
  </si>
  <si>
    <t>Repayment Of Debt</t>
  </si>
  <si>
    <t>Research And Development</t>
  </si>
  <si>
    <t>Retained Earnings</t>
  </si>
  <si>
    <t>Selling And Marketing Expense</t>
  </si>
  <si>
    <t>Selling General And Administration</t>
  </si>
  <si>
    <t>Share Issued</t>
  </si>
  <si>
    <t>Special Income Charges</t>
  </si>
  <si>
    <t>Stockholders Equity</t>
  </si>
  <si>
    <t>Tangible Book Value</t>
  </si>
  <si>
    <t>Tax Effect Of Unusual Items</t>
  </si>
  <si>
    <t>Tax Provision</t>
  </si>
  <si>
    <t>Tax Rate For Calcs</t>
  </si>
  <si>
    <t>Taxes Refund Paid Direct</t>
  </si>
  <si>
    <t>Total Assets</t>
  </si>
  <si>
    <t>Total Capitalization</t>
  </si>
  <si>
    <t>Total Debt</t>
  </si>
  <si>
    <t>Total Equity Gross Minority Interest</t>
  </si>
  <si>
    <t>Total Expenses</t>
  </si>
  <si>
    <t>Total Liabilities Net Minority Interest</t>
  </si>
  <si>
    <t>Total Non Current Assets</t>
  </si>
  <si>
    <t>Total Non Current Liabilities Net Minority Interest</t>
  </si>
  <si>
    <t>Total Revenue</t>
  </si>
  <si>
    <t>Total Tax Payable</t>
  </si>
  <si>
    <t>Total Unusual Items</t>
  </si>
  <si>
    <t>Total Unusual Items Excluding Goodwill</t>
  </si>
  <si>
    <t>Working Capital</t>
  </si>
  <si>
    <t>Write Off</t>
  </si>
  <si>
    <t>Available For Sale Securities</t>
  </si>
  <si>
    <t>Capital Lease Obligations</t>
  </si>
  <si>
    <t>Common Stock Issuance</t>
  </si>
  <si>
    <t>Current Capital Lease Obligation</t>
  </si>
  <si>
    <t>Dividends Received Cfi</t>
  </si>
  <si>
    <t>Interest Paid Direct</t>
  </si>
  <si>
    <t>Inventories Adjustments Allowances</t>
  </si>
  <si>
    <t>Investmentin Financial Assets</t>
  </si>
  <si>
    <t>Investmentsin Associatesat Cost</t>
  </si>
  <si>
    <t>Issuance Of Capital Stock</t>
  </si>
  <si>
    <t>Long Term Capital Lease Obligation</t>
  </si>
  <si>
    <t>Net Business Purchase And Sale</t>
  </si>
  <si>
    <t>Net Common Stock Issuance</t>
  </si>
  <si>
    <t>Net Intangibles Purchase And Sale</t>
  </si>
  <si>
    <t>Net Short Term Debt Issuance</t>
  </si>
  <si>
    <t>Non Current Deferred Revenue</t>
  </si>
  <si>
    <t>Other Cash Adjustment Outside Changein Cash</t>
  </si>
  <si>
    <t>Other Cash Receiptsfrom Operating Activities</t>
  </si>
  <si>
    <t>Other Intangible Assets</t>
  </si>
  <si>
    <t>Other Short Term Investments</t>
  </si>
  <si>
    <t>Paymentson Behalfof Employees</t>
  </si>
  <si>
    <t>Purchase Of Business</t>
  </si>
  <si>
    <t>Purchase Of Intangibles</t>
  </si>
  <si>
    <t>Rent Expense Supplemental</t>
  </si>
  <si>
    <t>Sale Of PPE</t>
  </si>
  <si>
    <t>Short Term Debt Issuance</t>
  </si>
  <si>
    <t>Short Term Debt Payments</t>
  </si>
  <si>
    <t>Investments And Advances</t>
  </si>
  <si>
    <t>Net Investment Purchase And Sale</t>
  </si>
  <si>
    <t>Other Income Expense</t>
  </si>
  <si>
    <t>Purchase Of Investment</t>
  </si>
  <si>
    <t>Sale Of Investment</t>
  </si>
  <si>
    <t>Assets Held For Sale Current</t>
  </si>
  <si>
    <t>Non Current Deferred Assets</t>
  </si>
  <si>
    <t>Non Current Prepaid Assets</t>
  </si>
  <si>
    <t>Other Current Assets</t>
  </si>
  <si>
    <t>Restricted Cash</t>
  </si>
  <si>
    <t>Sale Of Business</t>
  </si>
  <si>
    <t>Total Operating Income As Reported</t>
  </si>
  <si>
    <t>Current Deferred Assets</t>
  </si>
  <si>
    <t>Financial Assets Designatedas Fair Value Through Profitor Loss Total</t>
  </si>
  <si>
    <t>Gain On Sale Of Security</t>
  </si>
  <si>
    <t>Receivables</t>
  </si>
  <si>
    <t>Receivables Adjustments Allowances</t>
  </si>
  <si>
    <t>TLKM</t>
  </si>
  <si>
    <t>Cash Flow From Continuing Financing Activities</t>
  </si>
  <si>
    <t>Cash Flow From Continuing Investing Activities</t>
  </si>
  <si>
    <t>Current Accrued Expenses</t>
  </si>
  <si>
    <t>Current Deferred Liabilities</t>
  </si>
  <si>
    <t>Current Deferred Revenue</t>
  </si>
  <si>
    <t>Depreciation Amortization Depletion Income Statement</t>
  </si>
  <si>
    <t>Earnings From Equity Interest</t>
  </si>
  <si>
    <t>Employee Benefits</t>
  </si>
  <si>
    <t>Gains Losses Not Affecting Retained Earnings</t>
  </si>
  <si>
    <t>Income Tax Payable</t>
  </si>
  <si>
    <t>Interest Payable</t>
  </si>
  <si>
    <t>Leases</t>
  </si>
  <si>
    <t>Line Of Credit</t>
  </si>
  <si>
    <t>Non Current Accounts Receivable</t>
  </si>
  <si>
    <t>Non Current Deferred Liabilities</t>
  </si>
  <si>
    <t>Other Current Borrowings</t>
  </si>
  <si>
    <t>Other Equity Adjustments</t>
  </si>
  <si>
    <t>Other Gand A</t>
  </si>
  <si>
    <t>Payables And Accrued Expenses</t>
  </si>
  <si>
    <t>Provision For Doubtful Accounts</t>
  </si>
  <si>
    <t>Salaries And Wages</t>
  </si>
  <si>
    <t>YoY 2021 %</t>
  </si>
  <si>
    <t>YoY 2022 %</t>
  </si>
  <si>
    <t>YoY 2023 %</t>
  </si>
  <si>
    <t>Tren</t>
  </si>
  <si>
    <t>Melambat</t>
  </si>
  <si>
    <t>Fluktuatif</t>
  </si>
  <si>
    <t>Menurun Tajam</t>
  </si>
  <si>
    <t>Gross Profit Margin</t>
  </si>
  <si>
    <t>Operating Margin (EBIT)</t>
  </si>
  <si>
    <t>Pretax Margin</t>
  </si>
  <si>
    <t>Net Profit Margin</t>
  </si>
  <si>
    <t>Tax Burden</t>
  </si>
  <si>
    <t>Debt to Equity Ratio</t>
  </si>
  <si>
    <t>Debt Ratio</t>
  </si>
  <si>
    <t>Return On Assets (ROA)</t>
  </si>
  <si>
    <t>Return On Equity (ROE)</t>
  </si>
  <si>
    <t>Capital Employed</t>
  </si>
  <si>
    <t>Return on Capital Employed (ROCE)</t>
  </si>
  <si>
    <t>Profitability Analysis</t>
  </si>
  <si>
    <t>Margin Analysis</t>
  </si>
  <si>
    <t>Return Analysis</t>
  </si>
  <si>
    <t>Solvency Analysis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</si>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</sst>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3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33" borderId="0" xfId="0" applyFill="1" applyAlignment="1">
      <alignment horizontal="center"/>
    </xf>
    <xf numFmtId="0" fontId="0" fillId="0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A960-B73C-4E87-B97E-38FDF775F711}">
  <dimension ref="A1:G203"/>
  <sheetViews>
    <sheetView workbookViewId="0">
      <selection activeCell="B206" sqref="B206"/>
    </sheetView>
  </sheetViews>
  <sheetFormatPr defaultRowHeight="14.5" x14ac:dyDescent="0.35"/>
  <cols>
    <col min="1" max="1" width="6.54296875" bestFit="1" customWidth="1"/>
    <col min="2" max="2" width="56.453125" bestFit="1" customWidth="1"/>
    <col min="3" max="3" width="4.26953125" bestFit="1" customWidth="1"/>
    <col min="4" max="4" width="24.6328125" bestFit="1" customWidth="1"/>
    <col min="5" max="5" width="23.6328125" bestFit="1" customWidth="1"/>
    <col min="6" max="6" width="24.6328125" bestFit="1" customWidth="1"/>
    <col min="7" max="7" width="23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>
        <v>2020</v>
      </c>
      <c r="E1">
        <v>2021</v>
      </c>
      <c r="F1">
        <v>2022</v>
      </c>
      <c r="G1">
        <v>2023</v>
      </c>
    </row>
    <row r="2" spans="1:7" x14ac:dyDescent="0.35">
      <c r="A2" t="s">
        <v>184</v>
      </c>
      <c r="B2" t="s">
        <v>3</v>
      </c>
      <c r="C2" t="s">
        <v>4</v>
      </c>
      <c r="D2" s="1">
        <v>16999000000000</v>
      </c>
      <c r="E2" s="1">
        <v>17779000000000</v>
      </c>
      <c r="F2" s="1">
        <v>18457000000000</v>
      </c>
      <c r="G2" s="1">
        <v>18608000000000</v>
      </c>
    </row>
    <row r="3" spans="1:7" x14ac:dyDescent="0.35">
      <c r="A3" t="s">
        <v>184</v>
      </c>
      <c r="B3" t="s">
        <v>5</v>
      </c>
      <c r="C3" t="s">
        <v>4</v>
      </c>
      <c r="D3" s="1">
        <v>11339000000000</v>
      </c>
      <c r="E3" s="1">
        <v>8510000000000</v>
      </c>
      <c r="F3" s="1">
        <v>8634000000000</v>
      </c>
      <c r="G3" s="1">
        <v>10667000000000</v>
      </c>
    </row>
    <row r="4" spans="1:7" x14ac:dyDescent="0.35">
      <c r="A4" t="s">
        <v>184</v>
      </c>
      <c r="B4" t="s">
        <v>6</v>
      </c>
      <c r="C4" t="s">
        <v>4</v>
      </c>
      <c r="D4" s="1">
        <v>-166443000000000</v>
      </c>
      <c r="E4" s="1">
        <v>-175483000000000</v>
      </c>
      <c r="F4" s="1">
        <v>-189809000000000</v>
      </c>
      <c r="G4" s="1">
        <v>-198974000000000</v>
      </c>
    </row>
    <row r="5" spans="1:7" x14ac:dyDescent="0.35">
      <c r="A5" t="s">
        <v>184</v>
      </c>
      <c r="B5" t="s">
        <v>7</v>
      </c>
      <c r="C5" t="s">
        <v>4</v>
      </c>
      <c r="D5" s="1">
        <v>1977000000000</v>
      </c>
      <c r="E5" s="1">
        <v>1977000000000</v>
      </c>
      <c r="F5" s="1">
        <v>1977000000000</v>
      </c>
      <c r="G5" s="1">
        <v>1977000000000</v>
      </c>
    </row>
    <row r="6" spans="1:7" x14ac:dyDescent="0.35">
      <c r="A6" t="s">
        <v>184</v>
      </c>
      <c r="B6" t="s">
        <v>8</v>
      </c>
      <c r="C6" t="s">
        <v>4</v>
      </c>
      <c r="D6" s="1">
        <v>-8360000000000</v>
      </c>
      <c r="E6" s="1">
        <v>-7802000000000</v>
      </c>
      <c r="F6" s="1">
        <v>-7568000000000</v>
      </c>
      <c r="G6" s="1">
        <v>-7506000000000</v>
      </c>
    </row>
    <row r="7" spans="1:7" x14ac:dyDescent="0.35">
      <c r="A7" t="s">
        <v>184</v>
      </c>
      <c r="B7" t="s">
        <v>172</v>
      </c>
      <c r="C7" t="s">
        <v>4</v>
      </c>
      <c r="D7" s="1">
        <v>39000000000</v>
      </c>
      <c r="E7" s="1">
        <v>818000000000</v>
      </c>
      <c r="F7" s="1">
        <v>6000000000</v>
      </c>
      <c r="G7" s="1"/>
    </row>
    <row r="8" spans="1:7" x14ac:dyDescent="0.35">
      <c r="A8" t="s">
        <v>184</v>
      </c>
      <c r="B8" t="s">
        <v>140</v>
      </c>
      <c r="C8" t="s">
        <v>4</v>
      </c>
      <c r="D8" s="1"/>
      <c r="E8" s="1"/>
      <c r="F8" s="1">
        <v>22000000000</v>
      </c>
      <c r="G8" s="1">
        <v>25000000000</v>
      </c>
    </row>
    <row r="9" spans="1:7" x14ac:dyDescent="0.35">
      <c r="A9" t="s">
        <v>184</v>
      </c>
      <c r="B9" t="s">
        <v>9</v>
      </c>
      <c r="C9" t="s">
        <v>10</v>
      </c>
      <c r="D9" s="1">
        <v>99062216600</v>
      </c>
      <c r="E9" s="1">
        <v>99062216600</v>
      </c>
      <c r="F9" s="1">
        <v>99062216599</v>
      </c>
      <c r="G9" s="1">
        <v>99062216600</v>
      </c>
    </row>
    <row r="10" spans="1:7" x14ac:dyDescent="0.35">
      <c r="A10" t="s">
        <v>184</v>
      </c>
      <c r="B10" t="s">
        <v>11</v>
      </c>
      <c r="C10" t="s">
        <v>10</v>
      </c>
      <c r="D10" s="1">
        <v>212.51</v>
      </c>
      <c r="E10" s="1">
        <v>251.13</v>
      </c>
      <c r="F10" s="1">
        <v>209.49</v>
      </c>
      <c r="G10" s="1">
        <v>247.92</v>
      </c>
    </row>
    <row r="11" spans="1:7" x14ac:dyDescent="0.35">
      <c r="A11" t="s">
        <v>184</v>
      </c>
      <c r="B11" t="s">
        <v>12</v>
      </c>
      <c r="C11" t="s">
        <v>13</v>
      </c>
      <c r="D11" s="1">
        <v>18241000000000</v>
      </c>
      <c r="E11" s="1">
        <v>20589000000000</v>
      </c>
      <c r="F11" s="1">
        <v>38311000000000</v>
      </c>
      <c r="G11" s="1">
        <v>31947000000000</v>
      </c>
    </row>
    <row r="12" spans="1:7" x14ac:dyDescent="0.35">
      <c r="A12" t="s">
        <v>184</v>
      </c>
      <c r="B12" t="s">
        <v>14</v>
      </c>
      <c r="C12" t="s">
        <v>4</v>
      </c>
      <c r="D12" s="1">
        <v>17003000000000</v>
      </c>
      <c r="E12" s="1">
        <v>17926000000000</v>
      </c>
      <c r="F12" s="1">
        <v>19489000000000</v>
      </c>
      <c r="G12" s="1">
        <v>20058000000000</v>
      </c>
    </row>
    <row r="13" spans="1:7" x14ac:dyDescent="0.35">
      <c r="A13" t="s">
        <v>184</v>
      </c>
      <c r="B13" t="s">
        <v>15</v>
      </c>
      <c r="C13" t="s">
        <v>13</v>
      </c>
      <c r="D13" s="1">
        <v>-31941000000000</v>
      </c>
      <c r="E13" s="1">
        <v>-32768000000000</v>
      </c>
      <c r="F13" s="1">
        <v>-38269000000000</v>
      </c>
      <c r="G13" s="1">
        <v>-36420000000000</v>
      </c>
    </row>
    <row r="14" spans="1:7" x14ac:dyDescent="0.35">
      <c r="A14" t="s">
        <v>184</v>
      </c>
      <c r="B14" t="s">
        <v>141</v>
      </c>
      <c r="C14" t="s">
        <v>4</v>
      </c>
      <c r="D14" s="1">
        <v>14877000000000</v>
      </c>
      <c r="E14" s="1">
        <v>15888000000000</v>
      </c>
      <c r="F14" s="1">
        <v>18473000000000</v>
      </c>
      <c r="G14" s="1">
        <v>20302000000000</v>
      </c>
    </row>
    <row r="15" spans="1:7" x14ac:dyDescent="0.35">
      <c r="A15" t="s">
        <v>184</v>
      </c>
      <c r="B15" t="s">
        <v>16</v>
      </c>
      <c r="C15" t="s">
        <v>4</v>
      </c>
      <c r="D15" s="1">
        <v>4953000000000</v>
      </c>
      <c r="E15" s="1">
        <v>4953000000000</v>
      </c>
      <c r="F15" s="1">
        <v>4953000000000</v>
      </c>
      <c r="G15" s="1">
        <v>4953000000000</v>
      </c>
    </row>
    <row r="16" spans="1:7" x14ac:dyDescent="0.35">
      <c r="A16" t="s">
        <v>184</v>
      </c>
      <c r="B16" t="s">
        <v>17</v>
      </c>
      <c r="C16" t="s">
        <v>4</v>
      </c>
      <c r="D16" s="1">
        <v>20589000000000</v>
      </c>
      <c r="E16" s="1">
        <v>38311000000000</v>
      </c>
      <c r="F16" s="1">
        <v>31947000000000</v>
      </c>
      <c r="G16" s="1">
        <v>29007000000000</v>
      </c>
    </row>
    <row r="17" spans="1:7" x14ac:dyDescent="0.35">
      <c r="A17" t="s">
        <v>184</v>
      </c>
      <c r="B17" t="s">
        <v>18</v>
      </c>
      <c r="C17" t="s">
        <v>4</v>
      </c>
      <c r="D17" s="1">
        <v>21818000000000</v>
      </c>
      <c r="E17" s="1">
        <v>38740000000000</v>
      </c>
      <c r="F17" s="1">
        <v>32883000000000</v>
      </c>
      <c r="G17" s="1">
        <v>30430000000000</v>
      </c>
    </row>
    <row r="18" spans="1:7" x14ac:dyDescent="0.35">
      <c r="A18" t="s">
        <v>184</v>
      </c>
      <c r="B18" t="s">
        <v>19</v>
      </c>
      <c r="C18" t="s">
        <v>13</v>
      </c>
      <c r="D18" s="1">
        <v>-15262000000000</v>
      </c>
      <c r="E18" s="1">
        <v>-16643000000000</v>
      </c>
      <c r="F18" s="1">
        <v>-14856000000000</v>
      </c>
      <c r="G18" s="1">
        <v>-16603000000000</v>
      </c>
    </row>
    <row r="19" spans="1:7" x14ac:dyDescent="0.35">
      <c r="A19" t="s">
        <v>184</v>
      </c>
      <c r="B19" t="s">
        <v>20</v>
      </c>
      <c r="C19" t="s">
        <v>4</v>
      </c>
      <c r="D19" s="1">
        <v>14101000000000</v>
      </c>
      <c r="E19" s="1">
        <v>13989000000000</v>
      </c>
      <c r="F19" s="1">
        <v>10762000000000</v>
      </c>
      <c r="G19" s="1">
        <v>14374000000000</v>
      </c>
    </row>
    <row r="20" spans="1:7" x14ac:dyDescent="0.35">
      <c r="A20" t="s">
        <v>184</v>
      </c>
      <c r="B20" t="s">
        <v>21</v>
      </c>
      <c r="C20" t="s">
        <v>4</v>
      </c>
      <c r="D20" s="1">
        <v>6488000000000</v>
      </c>
      <c r="E20" s="1">
        <v>24322000000000</v>
      </c>
      <c r="F20" s="1">
        <v>21185000000000</v>
      </c>
      <c r="G20" s="1">
        <v>14633000000000</v>
      </c>
    </row>
    <row r="21" spans="1:7" x14ac:dyDescent="0.35">
      <c r="A21" t="s">
        <v>184</v>
      </c>
      <c r="B21" t="s">
        <v>185</v>
      </c>
      <c r="C21" t="s">
        <v>13</v>
      </c>
      <c r="D21" s="1">
        <v>-27910000000000</v>
      </c>
      <c r="E21" s="1">
        <v>-12775000000000</v>
      </c>
      <c r="F21" s="1">
        <v>-40965000000000</v>
      </c>
      <c r="G21" s="1">
        <v>-26565000000000</v>
      </c>
    </row>
    <row r="22" spans="1:7" x14ac:dyDescent="0.35">
      <c r="A22" t="s">
        <v>184</v>
      </c>
      <c r="B22" t="s">
        <v>186</v>
      </c>
      <c r="C22" t="s">
        <v>13</v>
      </c>
      <c r="D22" s="1">
        <v>-35099000000000</v>
      </c>
      <c r="E22" s="1">
        <v>-37914000000000</v>
      </c>
      <c r="F22" s="1">
        <v>-39122000000000</v>
      </c>
      <c r="G22" s="1">
        <v>-36911000000000</v>
      </c>
    </row>
    <row r="23" spans="1:7" x14ac:dyDescent="0.35">
      <c r="A23" t="s">
        <v>184</v>
      </c>
      <c r="B23" t="s">
        <v>22</v>
      </c>
      <c r="C23" t="s">
        <v>13</v>
      </c>
      <c r="D23" s="1">
        <v>65317000000000</v>
      </c>
      <c r="E23" s="1">
        <v>68353000000000</v>
      </c>
      <c r="F23" s="1">
        <v>73354000000000</v>
      </c>
      <c r="G23" s="1">
        <v>60581000000000</v>
      </c>
    </row>
    <row r="24" spans="1:7" x14ac:dyDescent="0.35">
      <c r="A24" t="s">
        <v>184</v>
      </c>
      <c r="B24" t="s">
        <v>23</v>
      </c>
      <c r="C24" t="s">
        <v>13</v>
      </c>
      <c r="D24" s="1">
        <v>2308000000000</v>
      </c>
      <c r="E24" s="1">
        <v>17664000000000</v>
      </c>
      <c r="F24" s="1">
        <v>-6733000000000</v>
      </c>
      <c r="G24" s="1">
        <v>-2895000000000</v>
      </c>
    </row>
    <row r="25" spans="1:7" x14ac:dyDescent="0.35">
      <c r="A25" t="s">
        <v>184</v>
      </c>
      <c r="B25" t="s">
        <v>24</v>
      </c>
      <c r="C25" t="s">
        <v>13</v>
      </c>
      <c r="D25" s="1">
        <v>-69366000000000</v>
      </c>
      <c r="E25" s="1">
        <v>-75455000000000</v>
      </c>
      <c r="F25" s="1">
        <v>-72464000000000</v>
      </c>
      <c r="G25" s="1">
        <v>-85452000000000</v>
      </c>
    </row>
    <row r="26" spans="1:7" x14ac:dyDescent="0.35">
      <c r="A26" t="s">
        <v>184</v>
      </c>
      <c r="B26" t="s">
        <v>25</v>
      </c>
      <c r="C26" t="s">
        <v>13</v>
      </c>
      <c r="D26" s="1">
        <v>138645000000000</v>
      </c>
      <c r="E26" s="1">
        <v>147670000000000</v>
      </c>
      <c r="F26" s="1">
        <v>149017000000000</v>
      </c>
      <c r="G26" s="1">
        <v>149732000000000</v>
      </c>
    </row>
    <row r="27" spans="1:7" x14ac:dyDescent="0.35">
      <c r="A27" t="s">
        <v>184</v>
      </c>
      <c r="B27" t="s">
        <v>26</v>
      </c>
      <c r="C27" t="s">
        <v>4</v>
      </c>
      <c r="D27" s="1">
        <v>4953000000000</v>
      </c>
      <c r="E27" s="1">
        <v>4953000000000</v>
      </c>
      <c r="F27" s="1">
        <v>4953000000000</v>
      </c>
      <c r="G27" s="1">
        <v>4953000000000</v>
      </c>
    </row>
    <row r="28" spans="1:7" x14ac:dyDescent="0.35">
      <c r="A28" t="s">
        <v>184</v>
      </c>
      <c r="B28" t="s">
        <v>27</v>
      </c>
      <c r="C28" t="s">
        <v>13</v>
      </c>
      <c r="D28" s="1">
        <v>-15262000000000</v>
      </c>
      <c r="E28" s="1">
        <v>-16643000000000</v>
      </c>
      <c r="F28" s="1">
        <v>-14856000000000</v>
      </c>
      <c r="G28" s="1">
        <v>-16603000000000</v>
      </c>
    </row>
    <row r="29" spans="1:7" x14ac:dyDescent="0.35">
      <c r="A29" t="s">
        <v>184</v>
      </c>
      <c r="B29" t="s">
        <v>28</v>
      </c>
      <c r="C29" t="s">
        <v>4</v>
      </c>
      <c r="D29" s="1">
        <v>102374000000000</v>
      </c>
      <c r="E29" s="1">
        <v>121631000000000</v>
      </c>
      <c r="F29" s="1">
        <v>129224000000000</v>
      </c>
      <c r="G29" s="1">
        <v>135576000000000</v>
      </c>
    </row>
    <row r="30" spans="1:7" x14ac:dyDescent="0.35">
      <c r="A30" t="s">
        <v>184</v>
      </c>
      <c r="B30" t="s">
        <v>142</v>
      </c>
      <c r="C30" t="s">
        <v>13</v>
      </c>
      <c r="D30" s="1">
        <v>0</v>
      </c>
      <c r="E30" s="1">
        <v>18463000000000</v>
      </c>
      <c r="F30" s="1">
        <v>45000000000</v>
      </c>
      <c r="G30" s="1">
        <v>2961000000000</v>
      </c>
    </row>
    <row r="31" spans="1:7" x14ac:dyDescent="0.35">
      <c r="A31" t="s">
        <v>184</v>
      </c>
      <c r="B31" t="s">
        <v>29</v>
      </c>
      <c r="C31" t="s">
        <v>4</v>
      </c>
      <c r="D31" s="1">
        <v>2928000000000</v>
      </c>
      <c r="E31" s="1">
        <v>2950000000000</v>
      </c>
      <c r="F31" s="1">
        <v>4598000000000</v>
      </c>
      <c r="G31" s="1">
        <v>6240000000000</v>
      </c>
    </row>
    <row r="32" spans="1:7" x14ac:dyDescent="0.35">
      <c r="A32" t="s">
        <v>184</v>
      </c>
      <c r="B32" t="s">
        <v>30</v>
      </c>
      <c r="C32" t="s">
        <v>10</v>
      </c>
      <c r="D32" s="1">
        <v>39981000000000</v>
      </c>
      <c r="E32" s="1">
        <v>43314000000000</v>
      </c>
      <c r="F32" s="1">
        <v>43624000000000</v>
      </c>
      <c r="G32" s="1">
        <v>46081000000000</v>
      </c>
    </row>
    <row r="33" spans="1:7" x14ac:dyDescent="0.35">
      <c r="A33" t="s">
        <v>184</v>
      </c>
      <c r="B33" t="s">
        <v>187</v>
      </c>
      <c r="C33" t="s">
        <v>4</v>
      </c>
      <c r="D33" s="1">
        <v>14265000000000</v>
      </c>
      <c r="E33" s="1">
        <v>15885000000000</v>
      </c>
      <c r="F33" s="1">
        <v>15445000000000</v>
      </c>
      <c r="G33" s="1">
        <v>13079000000000</v>
      </c>
    </row>
    <row r="34" spans="1:7" x14ac:dyDescent="0.35">
      <c r="A34" t="s">
        <v>184</v>
      </c>
      <c r="B34" t="s">
        <v>31</v>
      </c>
      <c r="C34" t="s">
        <v>4</v>
      </c>
      <c r="D34" s="1">
        <v>46529000000000</v>
      </c>
      <c r="E34" s="1">
        <v>61288000000000</v>
      </c>
      <c r="F34" s="1">
        <v>55073000000000</v>
      </c>
      <c r="G34" s="1">
        <v>55628000000000</v>
      </c>
    </row>
    <row r="35" spans="1:7" x14ac:dyDescent="0.35">
      <c r="A35" t="s">
        <v>184</v>
      </c>
      <c r="B35" t="s">
        <v>143</v>
      </c>
      <c r="C35" t="s">
        <v>4</v>
      </c>
      <c r="D35" s="1">
        <v>4805000000000</v>
      </c>
      <c r="E35" s="1">
        <v>5525000000000</v>
      </c>
      <c r="F35" s="1">
        <v>4772000000000</v>
      </c>
      <c r="G35" s="1">
        <v>5458000000000</v>
      </c>
    </row>
    <row r="36" spans="1:7" x14ac:dyDescent="0.35">
      <c r="A36" t="s">
        <v>184</v>
      </c>
      <c r="B36" t="s">
        <v>32</v>
      </c>
      <c r="C36" t="s">
        <v>4</v>
      </c>
      <c r="D36" s="1">
        <v>19284000000000</v>
      </c>
      <c r="E36" s="1">
        <v>16372000000000</v>
      </c>
      <c r="F36" s="1">
        <v>17049000000000</v>
      </c>
      <c r="G36" s="1">
        <v>19926000000000</v>
      </c>
    </row>
    <row r="37" spans="1:7" x14ac:dyDescent="0.35">
      <c r="A37" t="s">
        <v>184</v>
      </c>
      <c r="B37" t="s">
        <v>33</v>
      </c>
      <c r="C37" t="s">
        <v>4</v>
      </c>
      <c r="D37" s="1">
        <v>24089000000000</v>
      </c>
      <c r="E37" s="1">
        <v>21897000000000</v>
      </c>
      <c r="F37" s="1">
        <v>21821000000000</v>
      </c>
      <c r="G37" s="1">
        <v>25384000000000</v>
      </c>
    </row>
    <row r="38" spans="1:7" x14ac:dyDescent="0.35">
      <c r="A38" t="s">
        <v>184</v>
      </c>
      <c r="B38" t="s">
        <v>179</v>
      </c>
      <c r="C38" t="s">
        <v>4</v>
      </c>
      <c r="D38" s="1">
        <v>454000000000</v>
      </c>
      <c r="E38" s="1">
        <v>656000000000</v>
      </c>
      <c r="F38" s="1">
        <v>671000000000</v>
      </c>
      <c r="G38" s="1">
        <v>653000000000</v>
      </c>
    </row>
    <row r="39" spans="1:7" x14ac:dyDescent="0.35">
      <c r="A39" t="s">
        <v>184</v>
      </c>
      <c r="B39" t="s">
        <v>188</v>
      </c>
      <c r="C39" t="s">
        <v>4</v>
      </c>
      <c r="D39" s="1">
        <v>9856000000000</v>
      </c>
      <c r="E39" s="1">
        <v>9211000000000</v>
      </c>
      <c r="F39" s="1">
        <v>8677000000000</v>
      </c>
      <c r="G39" s="1">
        <v>9414000000000</v>
      </c>
    </row>
    <row r="40" spans="1:7" x14ac:dyDescent="0.35">
      <c r="A40" t="s">
        <v>184</v>
      </c>
      <c r="B40" t="s">
        <v>189</v>
      </c>
      <c r="C40" t="s">
        <v>4</v>
      </c>
      <c r="D40" s="1">
        <v>9856000000000</v>
      </c>
      <c r="E40" s="1">
        <v>9211000000000</v>
      </c>
      <c r="F40" s="1">
        <v>8677000000000</v>
      </c>
      <c r="G40" s="1">
        <v>9414000000000</v>
      </c>
    </row>
    <row r="41" spans="1:7" x14ac:dyDescent="0.35">
      <c r="A41" t="s">
        <v>184</v>
      </c>
      <c r="B41" t="s">
        <v>34</v>
      </c>
      <c r="C41" t="s">
        <v>4</v>
      </c>
      <c r="D41" s="1">
        <v>68500000000000</v>
      </c>
      <c r="E41" s="1">
        <v>68695000000000</v>
      </c>
      <c r="F41" s="1">
        <v>70235000000000</v>
      </c>
      <c r="G41" s="1">
        <v>71451000000000</v>
      </c>
    </row>
    <row r="42" spans="1:7" x14ac:dyDescent="0.35">
      <c r="A42" t="s">
        <v>184</v>
      </c>
      <c r="B42" t="s">
        <v>190</v>
      </c>
      <c r="C42" t="s">
        <v>10</v>
      </c>
      <c r="D42" s="1">
        <v>28925000000000</v>
      </c>
      <c r="E42" s="1">
        <v>31714000000000</v>
      </c>
      <c r="F42" s="1">
        <v>33129000000000</v>
      </c>
      <c r="G42" s="1">
        <v>32569000000000</v>
      </c>
    </row>
    <row r="43" spans="1:7" x14ac:dyDescent="0.35">
      <c r="A43" t="s">
        <v>184</v>
      </c>
      <c r="B43" t="s">
        <v>35</v>
      </c>
      <c r="C43" t="s">
        <v>10</v>
      </c>
      <c r="D43" s="1">
        <v>28925000000000</v>
      </c>
      <c r="E43" s="1">
        <v>31714000000000</v>
      </c>
      <c r="F43" s="1">
        <v>33129000000000</v>
      </c>
      <c r="G43" s="1">
        <v>32569000000000</v>
      </c>
    </row>
    <row r="44" spans="1:7" x14ac:dyDescent="0.35">
      <c r="A44" t="s">
        <v>184</v>
      </c>
      <c r="B44" t="s">
        <v>36</v>
      </c>
      <c r="C44" t="s">
        <v>10</v>
      </c>
      <c r="D44" s="1">
        <v>99062216600</v>
      </c>
      <c r="E44" s="1">
        <v>99062216600</v>
      </c>
      <c r="F44" s="1">
        <v>99062216599</v>
      </c>
      <c r="G44" s="1">
        <v>99062216600</v>
      </c>
    </row>
    <row r="45" spans="1:7" x14ac:dyDescent="0.35">
      <c r="A45" t="s">
        <v>184</v>
      </c>
      <c r="B45" t="s">
        <v>37</v>
      </c>
      <c r="C45" t="s">
        <v>10</v>
      </c>
      <c r="D45" s="1">
        <v>212.51</v>
      </c>
      <c r="E45" s="1">
        <v>251.13</v>
      </c>
      <c r="F45" s="1">
        <v>209.49</v>
      </c>
      <c r="G45" s="1">
        <v>247.92</v>
      </c>
    </row>
    <row r="46" spans="1:7" x14ac:dyDescent="0.35">
      <c r="A46" t="s">
        <v>184</v>
      </c>
      <c r="B46" t="s">
        <v>38</v>
      </c>
      <c r="C46" t="s">
        <v>10</v>
      </c>
      <c r="D46" s="1">
        <v>21052000000000</v>
      </c>
      <c r="E46" s="1">
        <v>24877000000000</v>
      </c>
      <c r="F46" s="1">
        <v>20736000000000</v>
      </c>
      <c r="G46" s="1">
        <v>24427000000000</v>
      </c>
    </row>
    <row r="47" spans="1:7" x14ac:dyDescent="0.35">
      <c r="A47" t="s">
        <v>184</v>
      </c>
      <c r="B47" t="s">
        <v>144</v>
      </c>
      <c r="C47" t="s">
        <v>13</v>
      </c>
      <c r="D47" s="1">
        <v>5000000000</v>
      </c>
      <c r="E47" s="1">
        <v>0</v>
      </c>
      <c r="F47" s="1">
        <v>17000000000</v>
      </c>
      <c r="G47" s="1">
        <v>14000000000</v>
      </c>
    </row>
    <row r="48" spans="1:7" x14ac:dyDescent="0.35">
      <c r="A48" t="s">
        <v>184</v>
      </c>
      <c r="B48" t="s">
        <v>39</v>
      </c>
      <c r="C48" t="s">
        <v>10</v>
      </c>
      <c r="D48" s="1">
        <v>43749000000000</v>
      </c>
      <c r="E48" s="1">
        <v>48133000000000</v>
      </c>
      <c r="F48" s="1">
        <v>40507000000000</v>
      </c>
      <c r="G48" s="1">
        <v>45547000000000</v>
      </c>
    </row>
    <row r="49" spans="1:7" x14ac:dyDescent="0.35">
      <c r="A49" t="s">
        <v>184</v>
      </c>
      <c r="B49" t="s">
        <v>40</v>
      </c>
      <c r="C49" t="s">
        <v>10</v>
      </c>
      <c r="D49" s="1">
        <v>72674000000000</v>
      </c>
      <c r="E49" s="1">
        <v>79847000000000</v>
      </c>
      <c r="F49" s="1">
        <v>73636000000000</v>
      </c>
      <c r="G49" s="1">
        <v>78116000000000</v>
      </c>
    </row>
    <row r="50" spans="1:7" x14ac:dyDescent="0.35">
      <c r="A50" t="s">
        <v>184</v>
      </c>
      <c r="B50" t="s">
        <v>191</v>
      </c>
      <c r="C50" t="s">
        <v>10</v>
      </c>
      <c r="D50" s="1">
        <v>-246000000000</v>
      </c>
      <c r="E50" s="1">
        <v>-78000000000</v>
      </c>
      <c r="F50" s="1">
        <v>-87000000000</v>
      </c>
      <c r="G50" s="1">
        <v>1000000000</v>
      </c>
    </row>
    <row r="51" spans="1:7" x14ac:dyDescent="0.35">
      <c r="A51" t="s">
        <v>184</v>
      </c>
      <c r="B51" t="s">
        <v>41</v>
      </c>
      <c r="C51" t="s">
        <v>13</v>
      </c>
      <c r="D51" s="1">
        <v>40000000000</v>
      </c>
      <c r="E51" s="1">
        <v>59000000000</v>
      </c>
      <c r="F51" s="1">
        <v>370000000000</v>
      </c>
      <c r="G51" s="1">
        <v>-44000000000</v>
      </c>
    </row>
    <row r="52" spans="1:7" x14ac:dyDescent="0.35">
      <c r="A52" t="s">
        <v>184</v>
      </c>
      <c r="B52" t="s">
        <v>192</v>
      </c>
      <c r="C52" t="s">
        <v>4</v>
      </c>
      <c r="D52" s="1">
        <v>14230000000000</v>
      </c>
      <c r="E52" s="1">
        <v>12769000000000</v>
      </c>
      <c r="F52" s="1">
        <v>11303000000000</v>
      </c>
      <c r="G52" s="1">
        <v>12567000000000</v>
      </c>
    </row>
    <row r="53" spans="1:7" x14ac:dyDescent="0.35">
      <c r="A53" t="s">
        <v>184</v>
      </c>
      <c r="B53" t="s">
        <v>42</v>
      </c>
      <c r="C53" t="s">
        <v>13</v>
      </c>
      <c r="D53" s="1">
        <v>20589000000000</v>
      </c>
      <c r="E53" s="1">
        <v>38311000000000</v>
      </c>
      <c r="F53" s="1">
        <v>31947000000000</v>
      </c>
      <c r="G53" s="1">
        <v>29007000000000</v>
      </c>
    </row>
    <row r="54" spans="1:7" x14ac:dyDescent="0.35">
      <c r="A54" t="s">
        <v>184</v>
      </c>
      <c r="B54" t="s">
        <v>180</v>
      </c>
      <c r="C54" t="s">
        <v>4</v>
      </c>
      <c r="D54" s="1"/>
      <c r="E54" s="1"/>
      <c r="F54" s="1">
        <v>8508000000000</v>
      </c>
      <c r="G54" s="1">
        <v>8028000000000</v>
      </c>
    </row>
    <row r="55" spans="1:7" x14ac:dyDescent="0.35">
      <c r="A55" t="s">
        <v>184</v>
      </c>
      <c r="B55" t="s">
        <v>43</v>
      </c>
      <c r="C55" t="s">
        <v>13</v>
      </c>
      <c r="D55" s="1">
        <v>-27910000000000</v>
      </c>
      <c r="E55" s="1">
        <v>-12775000000000</v>
      </c>
      <c r="F55" s="1">
        <v>-40965000000000</v>
      </c>
      <c r="G55" s="1">
        <v>-26565000000000</v>
      </c>
    </row>
    <row r="56" spans="1:7" x14ac:dyDescent="0.35">
      <c r="A56" t="s">
        <v>184</v>
      </c>
      <c r="B56" t="s">
        <v>44</v>
      </c>
      <c r="C56" t="s">
        <v>4</v>
      </c>
      <c r="D56" s="1">
        <v>237000000000</v>
      </c>
      <c r="E56" s="1">
        <v>148000000000</v>
      </c>
      <c r="F56" s="1">
        <v>321000000000</v>
      </c>
      <c r="G56" s="1">
        <v>791000000000</v>
      </c>
    </row>
    <row r="57" spans="1:7" x14ac:dyDescent="0.35">
      <c r="A57" t="s">
        <v>184</v>
      </c>
      <c r="B57" t="s">
        <v>45</v>
      </c>
      <c r="C57" t="s">
        <v>13</v>
      </c>
      <c r="D57" s="1">
        <v>33376000000000</v>
      </c>
      <c r="E57" s="1">
        <v>35585000000000</v>
      </c>
      <c r="F57" s="1">
        <v>35085000000000</v>
      </c>
      <c r="G57" s="1">
        <v>24161000000000</v>
      </c>
    </row>
    <row r="58" spans="1:7" x14ac:dyDescent="0.35">
      <c r="A58" t="s">
        <v>184</v>
      </c>
      <c r="B58" t="s">
        <v>181</v>
      </c>
      <c r="C58" t="s">
        <v>10</v>
      </c>
      <c r="D58" s="1">
        <v>43000000000</v>
      </c>
      <c r="E58" s="1">
        <v>3482000000000</v>
      </c>
      <c r="F58" s="1">
        <v>-6182000000000</v>
      </c>
      <c r="G58" s="1">
        <v>-784000000000</v>
      </c>
    </row>
    <row r="59" spans="1:7" x14ac:dyDescent="0.35">
      <c r="A59" t="s">
        <v>184</v>
      </c>
      <c r="B59" t="s">
        <v>193</v>
      </c>
      <c r="C59" t="s">
        <v>4</v>
      </c>
      <c r="D59" s="1">
        <v>236000000000</v>
      </c>
      <c r="E59" s="1">
        <v>263000000000</v>
      </c>
      <c r="F59" s="1">
        <v>564000000000</v>
      </c>
      <c r="G59" s="1">
        <v>500000000000</v>
      </c>
    </row>
    <row r="60" spans="1:7" x14ac:dyDescent="0.35">
      <c r="A60" t="s">
        <v>184</v>
      </c>
      <c r="B60" t="s">
        <v>46</v>
      </c>
      <c r="C60" t="s">
        <v>10</v>
      </c>
      <c r="D60" s="1">
        <v>18558000000000</v>
      </c>
      <c r="E60" s="1">
        <v>20066000000000</v>
      </c>
      <c r="F60" s="1">
        <v>20194000000000</v>
      </c>
      <c r="G60" s="1">
        <v>21513000000000</v>
      </c>
    </row>
    <row r="61" spans="1:7" x14ac:dyDescent="0.35">
      <c r="A61" t="s">
        <v>184</v>
      </c>
      <c r="B61" t="s">
        <v>47</v>
      </c>
      <c r="C61" t="s">
        <v>4</v>
      </c>
      <c r="D61" s="1">
        <v>1311000000000</v>
      </c>
      <c r="E61" s="1">
        <v>1098000000000</v>
      </c>
      <c r="F61" s="1">
        <v>1098000000000</v>
      </c>
      <c r="G61" s="1">
        <v>1087000000000</v>
      </c>
    </row>
    <row r="62" spans="1:7" x14ac:dyDescent="0.35">
      <c r="A62" t="s">
        <v>184</v>
      </c>
      <c r="B62" t="s">
        <v>48</v>
      </c>
      <c r="C62" t="s">
        <v>4</v>
      </c>
      <c r="D62" s="1">
        <v>13490000000000</v>
      </c>
      <c r="E62" s="1">
        <v>14416000000000</v>
      </c>
      <c r="F62" s="1">
        <v>15041000000000</v>
      </c>
      <c r="G62" s="1">
        <v>16852000000000</v>
      </c>
    </row>
    <row r="63" spans="1:7" x14ac:dyDescent="0.35">
      <c r="A63" t="s">
        <v>184</v>
      </c>
      <c r="B63" t="s">
        <v>49</v>
      </c>
      <c r="C63" t="s">
        <v>4</v>
      </c>
      <c r="D63" s="1">
        <v>19699000000000</v>
      </c>
      <c r="E63" s="1">
        <v>16312000000000</v>
      </c>
      <c r="F63" s="1">
        <v>16202000000000</v>
      </c>
      <c r="G63" s="1">
        <v>18173000000000</v>
      </c>
    </row>
    <row r="64" spans="1:7" x14ac:dyDescent="0.35">
      <c r="A64" t="s">
        <v>184</v>
      </c>
      <c r="B64" t="s">
        <v>50</v>
      </c>
      <c r="C64" t="s">
        <v>4</v>
      </c>
      <c r="D64" s="1">
        <v>339667000000000</v>
      </c>
      <c r="E64" s="1">
        <v>352603000000000</v>
      </c>
      <c r="F64" s="1">
        <v>377383000000000</v>
      </c>
      <c r="G64" s="1">
        <v>395664000000000</v>
      </c>
    </row>
    <row r="65" spans="1:7" x14ac:dyDescent="0.35">
      <c r="A65" t="s">
        <v>184</v>
      </c>
      <c r="B65" t="s">
        <v>51</v>
      </c>
      <c r="C65" t="s">
        <v>10</v>
      </c>
      <c r="D65" s="1">
        <v>96466000000000</v>
      </c>
      <c r="E65" s="1">
        <v>99896000000000</v>
      </c>
      <c r="F65" s="1">
        <v>103682000000000</v>
      </c>
      <c r="G65" s="1">
        <v>103135000000000</v>
      </c>
    </row>
    <row r="66" spans="1:7" x14ac:dyDescent="0.35">
      <c r="A66" t="s">
        <v>184</v>
      </c>
      <c r="B66" t="s">
        <v>194</v>
      </c>
      <c r="C66" t="s">
        <v>4</v>
      </c>
      <c r="D66" s="1">
        <v>1291000000000</v>
      </c>
      <c r="E66" s="1">
        <v>1609000000000</v>
      </c>
      <c r="F66" s="1">
        <v>3824000000000</v>
      </c>
      <c r="G66" s="1">
        <v>3164000000000</v>
      </c>
    </row>
    <row r="67" spans="1:7" x14ac:dyDescent="0.35">
      <c r="A67" t="s">
        <v>184</v>
      </c>
      <c r="B67" t="s">
        <v>52</v>
      </c>
      <c r="C67" t="s">
        <v>10</v>
      </c>
      <c r="D67" s="1">
        <v>4602000000000</v>
      </c>
      <c r="E67" s="1">
        <v>4394000000000</v>
      </c>
      <c r="F67" s="1">
        <v>4077000000000</v>
      </c>
      <c r="G67" s="1">
        <v>4692000000000</v>
      </c>
    </row>
    <row r="68" spans="1:7" x14ac:dyDescent="0.35">
      <c r="A68" t="s">
        <v>184</v>
      </c>
      <c r="B68" t="s">
        <v>53</v>
      </c>
      <c r="C68" t="s">
        <v>10</v>
      </c>
      <c r="D68" s="1">
        <v>4602000000000</v>
      </c>
      <c r="E68" s="1">
        <v>4394000000000</v>
      </c>
      <c r="F68" s="1">
        <v>4077000000000</v>
      </c>
      <c r="G68" s="1">
        <v>4692000000000</v>
      </c>
    </row>
    <row r="69" spans="1:7" x14ac:dyDescent="0.35">
      <c r="A69" t="s">
        <v>184</v>
      </c>
      <c r="B69" t="s">
        <v>54</v>
      </c>
      <c r="C69" t="s">
        <v>10</v>
      </c>
      <c r="D69" s="1">
        <v>800000000000</v>
      </c>
      <c r="E69" s="1">
        <v>558000000000</v>
      </c>
      <c r="F69" s="1">
        <v>878000000000</v>
      </c>
      <c r="G69" s="1">
        <v>1061000000000</v>
      </c>
    </row>
    <row r="70" spans="1:7" x14ac:dyDescent="0.35">
      <c r="A70" t="s">
        <v>184</v>
      </c>
      <c r="B70" t="s">
        <v>55</v>
      </c>
      <c r="C70" t="s">
        <v>10</v>
      </c>
      <c r="D70" s="1">
        <v>800000000000</v>
      </c>
      <c r="E70" s="1">
        <v>558000000000</v>
      </c>
      <c r="F70" s="1">
        <v>878000000000</v>
      </c>
      <c r="G70" s="1">
        <v>1061000000000</v>
      </c>
    </row>
    <row r="71" spans="1:7" x14ac:dyDescent="0.35">
      <c r="A71" t="s">
        <v>184</v>
      </c>
      <c r="B71" t="s">
        <v>145</v>
      </c>
      <c r="C71" t="s">
        <v>13</v>
      </c>
      <c r="D71" s="1">
        <v>-4768000000000</v>
      </c>
      <c r="E71" s="1">
        <v>-4426000000000</v>
      </c>
      <c r="F71" s="1">
        <v>-4064000000000</v>
      </c>
      <c r="G71" s="1">
        <v>-4748000000000</v>
      </c>
    </row>
    <row r="72" spans="1:7" x14ac:dyDescent="0.35">
      <c r="A72" t="s">
        <v>184</v>
      </c>
      <c r="B72" t="s">
        <v>195</v>
      </c>
      <c r="C72" t="s">
        <v>4</v>
      </c>
      <c r="D72" s="1">
        <v>156000000000</v>
      </c>
      <c r="E72" s="1">
        <v>144000000000</v>
      </c>
      <c r="F72" s="1">
        <v>181000000000</v>
      </c>
      <c r="G72" s="1">
        <v>243000000000</v>
      </c>
    </row>
    <row r="73" spans="1:7" x14ac:dyDescent="0.35">
      <c r="A73" t="s">
        <v>184</v>
      </c>
      <c r="B73" t="s">
        <v>56</v>
      </c>
      <c r="C73" t="s">
        <v>13</v>
      </c>
      <c r="D73" s="1">
        <v>806000000000</v>
      </c>
      <c r="E73" s="1">
        <v>564000000000</v>
      </c>
      <c r="F73" s="1">
        <v>865000000000</v>
      </c>
      <c r="G73" s="1">
        <v>1049000000000</v>
      </c>
    </row>
    <row r="74" spans="1:7" x14ac:dyDescent="0.35">
      <c r="A74" t="s">
        <v>184</v>
      </c>
      <c r="B74" t="s">
        <v>146</v>
      </c>
      <c r="C74" t="s">
        <v>4</v>
      </c>
      <c r="D74" s="1"/>
      <c r="E74" s="1">
        <v>-69000000000</v>
      </c>
      <c r="F74" s="1">
        <v>-59000000000</v>
      </c>
      <c r="G74" s="1">
        <v>-54000000000</v>
      </c>
    </row>
    <row r="75" spans="1:7" x14ac:dyDescent="0.35">
      <c r="A75" t="s">
        <v>184</v>
      </c>
      <c r="B75" t="s">
        <v>57</v>
      </c>
      <c r="C75" t="s">
        <v>4</v>
      </c>
      <c r="D75" s="1">
        <v>983000000000</v>
      </c>
      <c r="E75" s="1">
        <v>779000000000</v>
      </c>
      <c r="F75" s="1">
        <v>1144000000000</v>
      </c>
      <c r="G75" s="1">
        <v>997000000000</v>
      </c>
    </row>
    <row r="76" spans="1:7" x14ac:dyDescent="0.35">
      <c r="A76" t="s">
        <v>184</v>
      </c>
      <c r="B76" t="s">
        <v>58</v>
      </c>
      <c r="C76" t="s">
        <v>4</v>
      </c>
      <c r="D76" s="1">
        <v>152219000000000</v>
      </c>
      <c r="E76" s="1">
        <v>174322000000000</v>
      </c>
      <c r="F76" s="1">
        <v>173604000000000</v>
      </c>
      <c r="G76" s="1">
        <v>183275000000000</v>
      </c>
    </row>
    <row r="77" spans="1:7" x14ac:dyDescent="0.35">
      <c r="A77" t="s">
        <v>184</v>
      </c>
      <c r="B77" t="s">
        <v>59</v>
      </c>
      <c r="C77" t="s">
        <v>13</v>
      </c>
      <c r="D77" s="1">
        <v>-35099000000000</v>
      </c>
      <c r="E77" s="1">
        <v>-37914000000000</v>
      </c>
      <c r="F77" s="1">
        <v>-39122000000000</v>
      </c>
      <c r="G77" s="1">
        <v>-36911000000000</v>
      </c>
    </row>
    <row r="78" spans="1:7" x14ac:dyDescent="0.35">
      <c r="A78" t="s">
        <v>184</v>
      </c>
      <c r="B78" t="s">
        <v>147</v>
      </c>
      <c r="C78" t="s">
        <v>4</v>
      </c>
      <c r="D78" s="1">
        <v>4045000000000</v>
      </c>
      <c r="E78" s="1">
        <v>13800000000000</v>
      </c>
      <c r="F78" s="1">
        <v>8530000000000</v>
      </c>
      <c r="G78" s="1">
        <v>8053000000000</v>
      </c>
    </row>
    <row r="79" spans="1:7" x14ac:dyDescent="0.35">
      <c r="A79" t="s">
        <v>184</v>
      </c>
      <c r="B79" t="s">
        <v>167</v>
      </c>
      <c r="C79" t="s">
        <v>4</v>
      </c>
      <c r="D79" s="1">
        <v>4237000000000</v>
      </c>
      <c r="E79" s="1">
        <v>13800000000000</v>
      </c>
      <c r="F79" s="1">
        <v>8653000000000</v>
      </c>
      <c r="G79" s="1">
        <v>8162000000000</v>
      </c>
    </row>
    <row r="80" spans="1:7" x14ac:dyDescent="0.35">
      <c r="A80" t="s">
        <v>184</v>
      </c>
      <c r="B80" t="s">
        <v>148</v>
      </c>
      <c r="C80" t="s">
        <v>4</v>
      </c>
      <c r="D80" s="1">
        <v>192000000000</v>
      </c>
      <c r="E80" s="1">
        <v>139000000000</v>
      </c>
      <c r="F80" s="1">
        <v>123000000000</v>
      </c>
      <c r="G80" s="1">
        <v>109000000000</v>
      </c>
    </row>
    <row r="81" spans="1:7" x14ac:dyDescent="0.35">
      <c r="A81" t="s">
        <v>184</v>
      </c>
      <c r="B81" t="s">
        <v>149</v>
      </c>
      <c r="C81" t="s">
        <v>13</v>
      </c>
      <c r="D81" s="1">
        <v>0</v>
      </c>
      <c r="E81" s="1">
        <v>18463000000000</v>
      </c>
      <c r="F81" s="1">
        <v>45000000000</v>
      </c>
      <c r="G81" s="1">
        <v>2961000000000</v>
      </c>
    </row>
    <row r="82" spans="1:7" x14ac:dyDescent="0.35">
      <c r="A82" t="s">
        <v>184</v>
      </c>
      <c r="B82" t="s">
        <v>60</v>
      </c>
      <c r="C82" t="s">
        <v>13</v>
      </c>
      <c r="D82" s="1">
        <v>24469000000000</v>
      </c>
      <c r="E82" s="1">
        <v>46612000000000</v>
      </c>
      <c r="F82" s="1">
        <v>35958000000000</v>
      </c>
      <c r="G82" s="1">
        <v>38834000000000</v>
      </c>
    </row>
    <row r="83" spans="1:7" x14ac:dyDescent="0.35">
      <c r="A83" t="s">
        <v>184</v>
      </c>
      <c r="B83" t="s">
        <v>196</v>
      </c>
      <c r="C83" t="s">
        <v>4</v>
      </c>
      <c r="D83" s="1">
        <v>1410000000000</v>
      </c>
      <c r="E83" s="1">
        <v>1477000000000</v>
      </c>
      <c r="F83" s="1">
        <v>1571000000000</v>
      </c>
      <c r="G83" s="1">
        <v>1675000000000</v>
      </c>
    </row>
    <row r="84" spans="1:7" x14ac:dyDescent="0.35">
      <c r="A84" t="s">
        <v>184</v>
      </c>
      <c r="B84" t="s">
        <v>197</v>
      </c>
      <c r="C84" t="s">
        <v>4</v>
      </c>
      <c r="D84" s="1">
        <v>9934000000000</v>
      </c>
      <c r="E84" s="1">
        <v>6682000000000</v>
      </c>
      <c r="F84" s="1">
        <v>8191000000000</v>
      </c>
      <c r="G84" s="1">
        <v>9650000000000</v>
      </c>
    </row>
    <row r="85" spans="1:7" x14ac:dyDescent="0.35">
      <c r="A85" t="s">
        <v>184</v>
      </c>
      <c r="B85" t="s">
        <v>150</v>
      </c>
      <c r="C85" t="s">
        <v>4</v>
      </c>
      <c r="D85" s="1">
        <v>10072000000000</v>
      </c>
      <c r="E85" s="1">
        <v>10363000000000</v>
      </c>
      <c r="F85" s="1">
        <v>13701000000000</v>
      </c>
      <c r="G85" s="1">
        <v>14844000000000</v>
      </c>
    </row>
    <row r="86" spans="1:7" x14ac:dyDescent="0.35">
      <c r="A86" t="s">
        <v>184</v>
      </c>
      <c r="B86" t="s">
        <v>61</v>
      </c>
      <c r="C86" t="s">
        <v>4</v>
      </c>
      <c r="D86" s="1">
        <v>30561000000000</v>
      </c>
      <c r="E86" s="1">
        <v>36319000000000</v>
      </c>
      <c r="F86" s="1">
        <v>27331000000000</v>
      </c>
      <c r="G86" s="1">
        <v>27773000000000</v>
      </c>
    </row>
    <row r="87" spans="1:7" x14ac:dyDescent="0.35">
      <c r="A87" t="s">
        <v>184</v>
      </c>
      <c r="B87" t="s">
        <v>62</v>
      </c>
      <c r="C87" t="s">
        <v>4</v>
      </c>
      <c r="D87" s="1">
        <v>40633000000000</v>
      </c>
      <c r="E87" s="1">
        <v>46682000000000</v>
      </c>
      <c r="F87" s="1">
        <v>41032000000000</v>
      </c>
      <c r="G87" s="1">
        <v>42617000000000</v>
      </c>
    </row>
    <row r="88" spans="1:7" x14ac:dyDescent="0.35">
      <c r="A88" t="s">
        <v>184</v>
      </c>
      <c r="B88" t="s">
        <v>63</v>
      </c>
      <c r="C88" t="s">
        <v>13</v>
      </c>
      <c r="D88" s="1">
        <v>24469000000000</v>
      </c>
      <c r="E88" s="1">
        <v>46612000000000</v>
      </c>
      <c r="F88" s="1">
        <v>35958000000000</v>
      </c>
      <c r="G88" s="1"/>
    </row>
    <row r="89" spans="1:7" x14ac:dyDescent="0.35">
      <c r="A89" t="s">
        <v>184</v>
      </c>
      <c r="B89" t="s">
        <v>64</v>
      </c>
      <c r="C89" t="s">
        <v>13</v>
      </c>
      <c r="D89" s="1">
        <v>-29339000000000</v>
      </c>
      <c r="E89" s="1">
        <v>-4225000000000</v>
      </c>
      <c r="F89" s="1">
        <v>-7024000000000</v>
      </c>
      <c r="G89" s="1">
        <v>-6600000000000</v>
      </c>
    </row>
    <row r="90" spans="1:7" x14ac:dyDescent="0.35">
      <c r="A90" t="s">
        <v>184</v>
      </c>
      <c r="B90" t="s">
        <v>65</v>
      </c>
      <c r="C90" t="s">
        <v>4</v>
      </c>
      <c r="D90" s="1">
        <v>192000000000</v>
      </c>
      <c r="E90" s="1">
        <v>139000000000</v>
      </c>
      <c r="F90" s="1">
        <v>123000000000</v>
      </c>
      <c r="G90" s="1">
        <v>109000000000</v>
      </c>
    </row>
    <row r="91" spans="1:7" x14ac:dyDescent="0.35">
      <c r="A91" t="s">
        <v>184</v>
      </c>
      <c r="B91" t="s">
        <v>66</v>
      </c>
      <c r="C91" t="s">
        <v>4</v>
      </c>
      <c r="D91" s="1">
        <v>3281000000000</v>
      </c>
      <c r="E91" s="1">
        <v>3297000000000</v>
      </c>
      <c r="F91" s="1">
        <v>3750000000000</v>
      </c>
      <c r="G91" s="1">
        <v>3808000000000</v>
      </c>
    </row>
    <row r="92" spans="1:7" x14ac:dyDescent="0.35">
      <c r="A92" t="s">
        <v>184</v>
      </c>
      <c r="B92" t="s">
        <v>67</v>
      </c>
      <c r="C92" t="s">
        <v>4</v>
      </c>
      <c r="D92" s="1">
        <v>18140000000000</v>
      </c>
      <c r="E92" s="1">
        <v>23541000000000</v>
      </c>
      <c r="F92" s="1">
        <v>19851000000000</v>
      </c>
      <c r="G92" s="1">
        <v>20659000000000</v>
      </c>
    </row>
    <row r="93" spans="1:7" x14ac:dyDescent="0.35">
      <c r="A93" t="s">
        <v>184</v>
      </c>
      <c r="B93" t="s">
        <v>68</v>
      </c>
      <c r="C93" t="s">
        <v>10</v>
      </c>
      <c r="D93" s="1">
        <v>-8838000000000</v>
      </c>
      <c r="E93" s="1">
        <v>-9222000000000</v>
      </c>
      <c r="F93" s="1">
        <v>-6984000000000</v>
      </c>
      <c r="G93" s="1">
        <v>-7641000000000</v>
      </c>
    </row>
    <row r="94" spans="1:7" x14ac:dyDescent="0.35">
      <c r="A94" t="s">
        <v>184</v>
      </c>
      <c r="B94" t="s">
        <v>151</v>
      </c>
      <c r="C94" t="s">
        <v>13</v>
      </c>
      <c r="D94" s="1">
        <v>-28000000000</v>
      </c>
      <c r="E94" s="1">
        <v>-42000000000</v>
      </c>
      <c r="F94" s="1"/>
      <c r="G94" s="1"/>
    </row>
    <row r="95" spans="1:7" x14ac:dyDescent="0.35">
      <c r="A95" t="s">
        <v>184</v>
      </c>
      <c r="B95" t="s">
        <v>152</v>
      </c>
      <c r="C95" t="s">
        <v>13</v>
      </c>
      <c r="D95" s="1">
        <v>0</v>
      </c>
      <c r="E95" s="1">
        <v>18463000000000</v>
      </c>
      <c r="F95" s="1">
        <v>45000000000</v>
      </c>
      <c r="G95" s="1">
        <v>2961000000000</v>
      </c>
    </row>
    <row r="96" spans="1:7" x14ac:dyDescent="0.35">
      <c r="A96" t="s">
        <v>184</v>
      </c>
      <c r="B96" t="s">
        <v>69</v>
      </c>
      <c r="C96" t="s">
        <v>4</v>
      </c>
      <c r="D96" s="1">
        <v>29256000000000</v>
      </c>
      <c r="E96" s="1">
        <v>14380000000000</v>
      </c>
      <c r="F96" s="1">
        <v>12433000000000</v>
      </c>
      <c r="G96" s="1">
        <v>18692000000000</v>
      </c>
    </row>
    <row r="97" spans="1:7" x14ac:dyDescent="0.35">
      <c r="A97" t="s">
        <v>184</v>
      </c>
      <c r="B97" t="s">
        <v>70</v>
      </c>
      <c r="C97" t="s">
        <v>10</v>
      </c>
      <c r="D97" s="1">
        <v>21052000000000</v>
      </c>
      <c r="E97" s="1">
        <v>24877000000000</v>
      </c>
      <c r="F97" s="1">
        <v>20736000000000</v>
      </c>
      <c r="G97" s="1">
        <v>24427000000000</v>
      </c>
    </row>
    <row r="98" spans="1:7" x14ac:dyDescent="0.35">
      <c r="A98" t="s">
        <v>184</v>
      </c>
      <c r="B98" t="s">
        <v>71</v>
      </c>
      <c r="C98" t="s">
        <v>10</v>
      </c>
      <c r="D98" s="1">
        <v>21052000000000</v>
      </c>
      <c r="E98" s="1">
        <v>24877000000000</v>
      </c>
      <c r="F98" s="1">
        <v>20736000000000</v>
      </c>
      <c r="G98" s="1">
        <v>24427000000000</v>
      </c>
    </row>
    <row r="99" spans="1:7" x14ac:dyDescent="0.35">
      <c r="A99" t="s">
        <v>184</v>
      </c>
      <c r="B99" t="s">
        <v>72</v>
      </c>
      <c r="C99" t="s">
        <v>10</v>
      </c>
      <c r="D99" s="1">
        <v>29890000000000</v>
      </c>
      <c r="E99" s="1">
        <v>34099000000000</v>
      </c>
      <c r="F99" s="1">
        <v>27720000000000</v>
      </c>
      <c r="G99" s="1">
        <v>32068000000000</v>
      </c>
    </row>
    <row r="100" spans="1:7" x14ac:dyDescent="0.35">
      <c r="A100" t="s">
        <v>184</v>
      </c>
      <c r="B100" t="s">
        <v>73</v>
      </c>
      <c r="C100" t="s">
        <v>10</v>
      </c>
      <c r="D100" s="1">
        <v>21052000000000</v>
      </c>
      <c r="E100" s="1">
        <v>24877000000000</v>
      </c>
      <c r="F100" s="1">
        <v>20736000000000</v>
      </c>
      <c r="G100" s="1">
        <v>24427000000000</v>
      </c>
    </row>
    <row r="101" spans="1:7" x14ac:dyDescent="0.35">
      <c r="A101" t="s">
        <v>184</v>
      </c>
      <c r="B101" t="s">
        <v>74</v>
      </c>
      <c r="C101" t="s">
        <v>10</v>
      </c>
      <c r="D101" s="1">
        <v>21052000000000</v>
      </c>
      <c r="E101" s="1">
        <v>24877000000000</v>
      </c>
      <c r="F101" s="1">
        <v>20736000000000</v>
      </c>
      <c r="G101" s="1">
        <v>24427000000000</v>
      </c>
    </row>
    <row r="102" spans="1:7" x14ac:dyDescent="0.35">
      <c r="A102" t="s">
        <v>184</v>
      </c>
      <c r="B102" t="s">
        <v>75</v>
      </c>
      <c r="C102" t="s">
        <v>10</v>
      </c>
      <c r="D102" s="1">
        <v>29890000000000</v>
      </c>
      <c r="E102" s="1">
        <v>34099000000000</v>
      </c>
      <c r="F102" s="1">
        <v>27720000000000</v>
      </c>
      <c r="G102" s="1">
        <v>32068000000000</v>
      </c>
    </row>
    <row r="103" spans="1:7" x14ac:dyDescent="0.35">
      <c r="A103" t="s">
        <v>184</v>
      </c>
      <c r="B103" t="s">
        <v>153</v>
      </c>
      <c r="C103" t="s">
        <v>13</v>
      </c>
      <c r="D103" s="1">
        <v>-2538000000000</v>
      </c>
      <c r="E103" s="1">
        <v>-2845000000000</v>
      </c>
      <c r="F103" s="1">
        <v>-3259000000000</v>
      </c>
      <c r="G103" s="1">
        <v>-2817000000000</v>
      </c>
    </row>
    <row r="104" spans="1:7" x14ac:dyDescent="0.35">
      <c r="A104" t="s">
        <v>184</v>
      </c>
      <c r="B104" t="s">
        <v>76</v>
      </c>
      <c r="C104" t="s">
        <v>10</v>
      </c>
      <c r="D104" s="1">
        <v>-3802000000000</v>
      </c>
      <c r="E104" s="1">
        <v>-3836000000000</v>
      </c>
      <c r="F104" s="1">
        <v>-3199000000000</v>
      </c>
      <c r="G104" s="1">
        <v>-3631000000000</v>
      </c>
    </row>
    <row r="105" spans="1:7" x14ac:dyDescent="0.35">
      <c r="A105" t="s">
        <v>184</v>
      </c>
      <c r="B105" t="s">
        <v>168</v>
      </c>
      <c r="C105" t="s">
        <v>13</v>
      </c>
      <c r="D105" s="1">
        <v>-3633000000000</v>
      </c>
      <c r="E105" s="1">
        <v>-5593000000000</v>
      </c>
      <c r="F105" s="1">
        <v>-2255000000000</v>
      </c>
      <c r="G105" s="1">
        <v>-655000000000</v>
      </c>
    </row>
    <row r="106" spans="1:7" x14ac:dyDescent="0.35">
      <c r="A106" t="s">
        <v>184</v>
      </c>
      <c r="B106" t="s">
        <v>77</v>
      </c>
      <c r="C106" t="s">
        <v>13</v>
      </c>
      <c r="D106" s="1">
        <v>-4870000000000</v>
      </c>
      <c r="E106" s="1">
        <v>-1353000000000</v>
      </c>
      <c r="F106" s="1">
        <v>-15370000000000</v>
      </c>
      <c r="G106" s="1">
        <v>-3089000000000</v>
      </c>
    </row>
    <row r="107" spans="1:7" x14ac:dyDescent="0.35">
      <c r="A107" t="s">
        <v>184</v>
      </c>
      <c r="B107" t="s">
        <v>78</v>
      </c>
      <c r="C107" t="s">
        <v>13</v>
      </c>
      <c r="D107" s="1">
        <v>-4870000000000</v>
      </c>
      <c r="E107" s="1">
        <v>-4225000000000</v>
      </c>
      <c r="F107" s="1">
        <v>-7024000000000</v>
      </c>
      <c r="G107" s="1">
        <v>-6600000000000</v>
      </c>
    </row>
    <row r="108" spans="1:7" x14ac:dyDescent="0.35">
      <c r="A108" t="s">
        <v>184</v>
      </c>
      <c r="B108" t="s">
        <v>79</v>
      </c>
      <c r="C108" t="s">
        <v>10</v>
      </c>
      <c r="D108" s="1">
        <v>-3802000000000</v>
      </c>
      <c r="E108" s="1">
        <v>-3836000000000</v>
      </c>
      <c r="F108" s="1">
        <v>-3199000000000</v>
      </c>
      <c r="G108" s="1">
        <v>-3631000000000</v>
      </c>
    </row>
    <row r="109" spans="1:7" x14ac:dyDescent="0.35">
      <c r="A109" t="s">
        <v>184</v>
      </c>
      <c r="B109" t="s">
        <v>80</v>
      </c>
      <c r="C109" t="s">
        <v>13</v>
      </c>
      <c r="D109" s="1">
        <v>-7778000000000</v>
      </c>
      <c r="E109" s="1">
        <v>-13242000000000</v>
      </c>
      <c r="F109" s="1">
        <v>-10784000000000</v>
      </c>
      <c r="G109" s="1">
        <v>-9834000000000</v>
      </c>
    </row>
    <row r="110" spans="1:7" x14ac:dyDescent="0.35">
      <c r="A110" t="s">
        <v>184</v>
      </c>
      <c r="B110" t="s">
        <v>81</v>
      </c>
      <c r="C110" t="s">
        <v>13</v>
      </c>
      <c r="D110" s="1">
        <v>234000000000</v>
      </c>
      <c r="E110" s="1">
        <v>-309000000000</v>
      </c>
      <c r="F110" s="1">
        <v>859000000000</v>
      </c>
      <c r="G110" s="1">
        <v>50000000000</v>
      </c>
    </row>
    <row r="111" spans="1:7" x14ac:dyDescent="0.35">
      <c r="A111" t="s">
        <v>184</v>
      </c>
      <c r="B111" t="s">
        <v>82</v>
      </c>
      <c r="C111" t="s">
        <v>4</v>
      </c>
      <c r="D111" s="1">
        <v>173224000000000</v>
      </c>
      <c r="E111" s="1">
        <v>177120000000000</v>
      </c>
      <c r="F111" s="1">
        <v>187574000000000</v>
      </c>
      <c r="G111" s="1">
        <v>196690000000000</v>
      </c>
    </row>
    <row r="112" spans="1:7" x14ac:dyDescent="0.35">
      <c r="A112" t="s">
        <v>184</v>
      </c>
      <c r="B112" t="s">
        <v>83</v>
      </c>
      <c r="C112" t="s">
        <v>13</v>
      </c>
      <c r="D112" s="1">
        <v>-29167000000000</v>
      </c>
      <c r="E112" s="1">
        <v>-29167000000000</v>
      </c>
      <c r="F112" s="1">
        <v>-34484000000000</v>
      </c>
      <c r="G112" s="1">
        <v>-33503000000000</v>
      </c>
    </row>
    <row r="113" spans="1:7" x14ac:dyDescent="0.35">
      <c r="A113" t="s">
        <v>184</v>
      </c>
      <c r="B113" t="s">
        <v>154</v>
      </c>
      <c r="C113" t="s">
        <v>13</v>
      </c>
      <c r="D113" s="1">
        <v>24469000000000</v>
      </c>
      <c r="E113" s="1">
        <v>2872000000000</v>
      </c>
      <c r="F113" s="1">
        <v>-8346000000000</v>
      </c>
      <c r="G113" s="1">
        <v>3511000000000</v>
      </c>
    </row>
    <row r="114" spans="1:7" x14ac:dyDescent="0.35">
      <c r="A114" t="s">
        <v>184</v>
      </c>
      <c r="B114" t="s">
        <v>84</v>
      </c>
      <c r="C114" t="s">
        <v>4</v>
      </c>
      <c r="D114" s="1">
        <v>88884000000000</v>
      </c>
      <c r="E114" s="1">
        <v>107215000000000</v>
      </c>
      <c r="F114" s="1">
        <v>114183000000000</v>
      </c>
      <c r="G114" s="1">
        <v>118724000000000</v>
      </c>
    </row>
    <row r="115" spans="1:7" x14ac:dyDescent="0.35">
      <c r="A115" t="s">
        <v>184</v>
      </c>
      <c r="B115" t="s">
        <v>198</v>
      </c>
      <c r="C115" t="s">
        <v>4</v>
      </c>
      <c r="D115" s="1">
        <v>203000000000</v>
      </c>
      <c r="E115" s="1">
        <v>1367000000000</v>
      </c>
      <c r="F115" s="1">
        <v>387000000000</v>
      </c>
      <c r="G115" s="1">
        <v>665000000000</v>
      </c>
    </row>
    <row r="116" spans="1:7" x14ac:dyDescent="0.35">
      <c r="A116" t="s">
        <v>184</v>
      </c>
      <c r="B116" t="s">
        <v>173</v>
      </c>
      <c r="C116" t="s">
        <v>4</v>
      </c>
      <c r="D116" s="1">
        <v>4997000000000</v>
      </c>
      <c r="E116" s="1">
        <v>5432000000000</v>
      </c>
      <c r="F116" s="1">
        <v>6110000000000</v>
      </c>
      <c r="G116" s="1">
        <v>5788000000000</v>
      </c>
    </row>
    <row r="117" spans="1:7" x14ac:dyDescent="0.35">
      <c r="A117" t="s">
        <v>184</v>
      </c>
      <c r="B117" t="s">
        <v>199</v>
      </c>
      <c r="C117" t="s">
        <v>4</v>
      </c>
      <c r="D117" s="1">
        <v>1614000000000</v>
      </c>
      <c r="E117" s="1">
        <v>2141000000000</v>
      </c>
      <c r="F117" s="1">
        <v>2584000000000</v>
      </c>
      <c r="G117" s="1">
        <v>3432000000000</v>
      </c>
    </row>
    <row r="118" spans="1:7" x14ac:dyDescent="0.35">
      <c r="A118" t="s">
        <v>184</v>
      </c>
      <c r="B118" t="s">
        <v>155</v>
      </c>
      <c r="C118" t="s">
        <v>4</v>
      </c>
      <c r="D118" s="1">
        <v>1007000000000</v>
      </c>
      <c r="E118" s="1">
        <v>1283000000000</v>
      </c>
      <c r="F118" s="1">
        <v>1561000000000</v>
      </c>
      <c r="G118" s="1">
        <v>2591000000000</v>
      </c>
    </row>
    <row r="119" spans="1:7" x14ac:dyDescent="0.35">
      <c r="A119" t="s">
        <v>184</v>
      </c>
      <c r="B119" t="s">
        <v>85</v>
      </c>
      <c r="C119" t="s">
        <v>4</v>
      </c>
      <c r="D119" s="1">
        <v>3743000000000</v>
      </c>
      <c r="E119" s="1">
        <v>3824000000000</v>
      </c>
      <c r="F119" s="1">
        <v>4369000000000</v>
      </c>
      <c r="G119" s="1">
        <v>4220000000000</v>
      </c>
    </row>
    <row r="120" spans="1:7" x14ac:dyDescent="0.35">
      <c r="A120" t="s">
        <v>184</v>
      </c>
      <c r="B120" t="s">
        <v>86</v>
      </c>
      <c r="C120" t="s">
        <v>4</v>
      </c>
      <c r="D120" s="1">
        <v>607000000000</v>
      </c>
      <c r="E120" s="1">
        <v>858000000000</v>
      </c>
      <c r="F120" s="1">
        <v>1023000000000</v>
      </c>
      <c r="G120" s="1">
        <v>841000000000</v>
      </c>
    </row>
    <row r="121" spans="1:7" x14ac:dyDescent="0.35">
      <c r="A121" t="s">
        <v>184</v>
      </c>
      <c r="B121" t="s">
        <v>87</v>
      </c>
      <c r="C121" t="s">
        <v>4</v>
      </c>
      <c r="D121" s="1">
        <v>12976000000000</v>
      </c>
      <c r="E121" s="1">
        <v>11563000000000</v>
      </c>
      <c r="F121" s="1">
        <v>10272000000000</v>
      </c>
      <c r="G121" s="1">
        <v>11414000000000</v>
      </c>
    </row>
    <row r="122" spans="1:7" x14ac:dyDescent="0.35">
      <c r="A122" t="s">
        <v>184</v>
      </c>
      <c r="B122" t="s">
        <v>174</v>
      </c>
      <c r="C122" t="s">
        <v>4</v>
      </c>
      <c r="D122" s="1">
        <v>2835000000000</v>
      </c>
      <c r="E122" s="1">
        <v>2289000000000</v>
      </c>
      <c r="F122" s="1">
        <v>1639000000000</v>
      </c>
      <c r="G122" s="1">
        <v>2478000000000</v>
      </c>
    </row>
    <row r="123" spans="1:7" x14ac:dyDescent="0.35">
      <c r="A123" t="s">
        <v>184</v>
      </c>
      <c r="B123" t="s">
        <v>88</v>
      </c>
      <c r="C123" t="s">
        <v>10</v>
      </c>
      <c r="D123" s="1">
        <v>73394000000000</v>
      </c>
      <c r="E123" s="1">
        <v>76365000000000</v>
      </c>
      <c r="F123" s="1">
        <v>79818000000000</v>
      </c>
      <c r="G123" s="1">
        <v>78900000000000</v>
      </c>
    </row>
    <row r="124" spans="1:7" x14ac:dyDescent="0.35">
      <c r="A124" t="s">
        <v>184</v>
      </c>
      <c r="B124" t="s">
        <v>89</v>
      </c>
      <c r="C124" t="s">
        <v>10</v>
      </c>
      <c r="D124" s="1">
        <v>21601743275346.699</v>
      </c>
      <c r="E124" s="1">
        <v>22162426781590.801</v>
      </c>
      <c r="F124" s="1">
        <v>2.54399538841614E+16</v>
      </c>
      <c r="G124" s="1">
        <v>25042379072328.898</v>
      </c>
    </row>
    <row r="125" spans="1:7" x14ac:dyDescent="0.35">
      <c r="A125" t="s">
        <v>184</v>
      </c>
      <c r="B125" t="s">
        <v>90</v>
      </c>
      <c r="C125" t="s">
        <v>10</v>
      </c>
      <c r="D125" s="1">
        <v>52551000000000</v>
      </c>
      <c r="E125" s="1">
        <v>55725000000000</v>
      </c>
      <c r="F125" s="1">
        <v>57784000000000</v>
      </c>
      <c r="G125" s="1">
        <v>57866000000000</v>
      </c>
    </row>
    <row r="126" spans="1:7" x14ac:dyDescent="0.35">
      <c r="A126" t="s">
        <v>184</v>
      </c>
      <c r="B126" t="s">
        <v>91</v>
      </c>
      <c r="C126" t="s">
        <v>10</v>
      </c>
      <c r="D126" s="1">
        <v>43915000000000</v>
      </c>
      <c r="E126" s="1">
        <v>44171000000000</v>
      </c>
      <c r="F126" s="1">
        <v>45898000000000</v>
      </c>
      <c r="G126" s="1">
        <v>45269000000000</v>
      </c>
    </row>
    <row r="127" spans="1:7" x14ac:dyDescent="0.35">
      <c r="A127" t="s">
        <v>184</v>
      </c>
      <c r="B127" t="s">
        <v>92</v>
      </c>
      <c r="C127" t="s">
        <v>10</v>
      </c>
      <c r="D127" s="1">
        <v>136447000000000</v>
      </c>
      <c r="E127" s="1">
        <v>137095000000000</v>
      </c>
      <c r="F127" s="1">
        <v>141472000000000</v>
      </c>
      <c r="G127" s="1">
        <v>143033000000000</v>
      </c>
    </row>
    <row r="128" spans="1:7" x14ac:dyDescent="0.35">
      <c r="A128" t="s">
        <v>184</v>
      </c>
      <c r="B128" t="s">
        <v>93</v>
      </c>
      <c r="C128" t="s">
        <v>4</v>
      </c>
      <c r="D128" s="1">
        <v>99062216600</v>
      </c>
      <c r="E128" s="1">
        <v>99062216600</v>
      </c>
      <c r="F128" s="1">
        <v>99062216600</v>
      </c>
      <c r="G128" s="1">
        <v>99062216600</v>
      </c>
    </row>
    <row r="129" spans="1:7" x14ac:dyDescent="0.35">
      <c r="A129" t="s">
        <v>184</v>
      </c>
      <c r="B129" t="s">
        <v>156</v>
      </c>
      <c r="C129" t="s">
        <v>13</v>
      </c>
      <c r="D129" s="1">
        <v>0</v>
      </c>
      <c r="E129" s="1">
        <v>-1000000000</v>
      </c>
      <c r="F129" s="1">
        <v>-1000000000</v>
      </c>
      <c r="G129" s="1">
        <v>-1000000000</v>
      </c>
    </row>
    <row r="130" spans="1:7" x14ac:dyDescent="0.35">
      <c r="A130" t="s">
        <v>184</v>
      </c>
      <c r="B130" t="s">
        <v>94</v>
      </c>
      <c r="C130" t="s">
        <v>13</v>
      </c>
      <c r="D130" s="1">
        <v>-44264000000000</v>
      </c>
      <c r="E130" s="1">
        <v>-50430000000000</v>
      </c>
      <c r="F130" s="1">
        <v>-49432000000000</v>
      </c>
      <c r="G130" s="1">
        <v>-57180000000000</v>
      </c>
    </row>
    <row r="131" spans="1:7" x14ac:dyDescent="0.35">
      <c r="A131" t="s">
        <v>184</v>
      </c>
      <c r="B131" t="s">
        <v>157</v>
      </c>
      <c r="C131" t="s">
        <v>13</v>
      </c>
      <c r="D131" s="1">
        <v>348000000000</v>
      </c>
      <c r="E131" s="1">
        <v>-311000000000</v>
      </c>
      <c r="F131" s="1">
        <v>338000000000</v>
      </c>
      <c r="G131" s="1">
        <v>593000000000</v>
      </c>
    </row>
    <row r="132" spans="1:7" x14ac:dyDescent="0.35">
      <c r="A132" t="s">
        <v>184</v>
      </c>
      <c r="B132" t="s">
        <v>175</v>
      </c>
      <c r="C132" t="s">
        <v>4</v>
      </c>
      <c r="D132" s="1">
        <v>202000000000</v>
      </c>
      <c r="E132" s="1">
        <v>401000000000</v>
      </c>
      <c r="F132" s="1">
        <v>475000000000</v>
      </c>
      <c r="G132" s="1">
        <v>442000000000</v>
      </c>
    </row>
    <row r="133" spans="1:7" x14ac:dyDescent="0.35">
      <c r="A133" t="s">
        <v>184</v>
      </c>
      <c r="B133" t="s">
        <v>200</v>
      </c>
      <c r="C133" t="s">
        <v>4</v>
      </c>
      <c r="D133" s="1">
        <v>9350000000000</v>
      </c>
      <c r="E133" s="1">
        <v>9690000000000</v>
      </c>
      <c r="F133" s="1">
        <v>8858000000000</v>
      </c>
      <c r="G133" s="1">
        <v>10276000000000</v>
      </c>
    </row>
    <row r="134" spans="1:7" x14ac:dyDescent="0.35">
      <c r="A134" t="s">
        <v>184</v>
      </c>
      <c r="B134" t="s">
        <v>201</v>
      </c>
      <c r="C134" t="s">
        <v>4</v>
      </c>
      <c r="D134" s="1">
        <v>236000000000</v>
      </c>
      <c r="E134" s="1">
        <v>263000000000</v>
      </c>
      <c r="F134" s="1">
        <v>564000000000</v>
      </c>
      <c r="G134" s="1">
        <v>500000000000</v>
      </c>
    </row>
    <row r="135" spans="1:7" x14ac:dyDescent="0.35">
      <c r="A135" t="s">
        <v>184</v>
      </c>
      <c r="B135" t="s">
        <v>202</v>
      </c>
      <c r="C135" t="s">
        <v>10</v>
      </c>
      <c r="D135" s="1">
        <v>3637000000000</v>
      </c>
      <c r="E135" s="1">
        <v>4045000000000</v>
      </c>
      <c r="F135" s="1">
        <v>4698000000000</v>
      </c>
      <c r="G135" s="1">
        <v>4893000000000</v>
      </c>
    </row>
    <row r="136" spans="1:7" x14ac:dyDescent="0.35">
      <c r="A136" t="s">
        <v>184</v>
      </c>
      <c r="B136" t="s">
        <v>169</v>
      </c>
      <c r="C136" t="s">
        <v>10</v>
      </c>
      <c r="D136" s="1">
        <v>-966000000000</v>
      </c>
      <c r="E136" s="1">
        <v>3404000000000</v>
      </c>
      <c r="F136" s="1">
        <v>-6269000000000</v>
      </c>
      <c r="G136" s="1">
        <v>-783000000000</v>
      </c>
    </row>
    <row r="137" spans="1:7" x14ac:dyDescent="0.35">
      <c r="A137" t="s">
        <v>184</v>
      </c>
      <c r="B137" t="s">
        <v>158</v>
      </c>
      <c r="C137" t="s">
        <v>4</v>
      </c>
      <c r="D137" s="1">
        <v>12179000000000</v>
      </c>
      <c r="E137" s="1">
        <v>13318000000000</v>
      </c>
      <c r="F137" s="1">
        <v>13943000000000</v>
      </c>
      <c r="G137" s="1">
        <v>15765000000000</v>
      </c>
    </row>
    <row r="138" spans="1:7" x14ac:dyDescent="0.35">
      <c r="A138" t="s">
        <v>184</v>
      </c>
      <c r="B138" t="s">
        <v>95</v>
      </c>
      <c r="C138" t="s">
        <v>4</v>
      </c>
      <c r="D138" s="1">
        <v>223000000000</v>
      </c>
      <c r="E138" s="1">
        <v>122000000000</v>
      </c>
      <c r="F138" s="1">
        <v>294000000000</v>
      </c>
      <c r="G138" s="1">
        <v>231000000000</v>
      </c>
    </row>
    <row r="139" spans="1:7" x14ac:dyDescent="0.35">
      <c r="A139" t="s">
        <v>184</v>
      </c>
      <c r="B139" t="s">
        <v>96</v>
      </c>
      <c r="C139" t="s">
        <v>4</v>
      </c>
      <c r="D139" s="1">
        <v>358000000000</v>
      </c>
      <c r="E139" s="1">
        <v>446000000000</v>
      </c>
      <c r="F139" s="1">
        <v>340000000000</v>
      </c>
      <c r="G139" s="1">
        <v>329000000000</v>
      </c>
    </row>
    <row r="140" spans="1:7" x14ac:dyDescent="0.35">
      <c r="A140" t="s">
        <v>184</v>
      </c>
      <c r="B140" t="s">
        <v>97</v>
      </c>
      <c r="C140" t="s">
        <v>4</v>
      </c>
      <c r="D140" s="1">
        <v>382000000000</v>
      </c>
      <c r="E140" s="1">
        <v>699000000000</v>
      </c>
      <c r="F140" s="1">
        <v>588000000000</v>
      </c>
      <c r="G140" s="1">
        <v>290000000000</v>
      </c>
    </row>
    <row r="141" spans="1:7" x14ac:dyDescent="0.35">
      <c r="A141" t="s">
        <v>184</v>
      </c>
      <c r="B141" t="s">
        <v>98</v>
      </c>
      <c r="C141" t="s">
        <v>10</v>
      </c>
      <c r="D141" s="1">
        <v>939000000000</v>
      </c>
      <c r="E141" s="1">
        <v>162000000000</v>
      </c>
      <c r="F141" s="1"/>
      <c r="G141" s="1"/>
    </row>
    <row r="142" spans="1:7" x14ac:dyDescent="0.35">
      <c r="A142" t="s">
        <v>184</v>
      </c>
      <c r="B142" t="s">
        <v>99</v>
      </c>
      <c r="C142" t="s">
        <v>10</v>
      </c>
      <c r="D142" s="1">
        <v>-810000000000</v>
      </c>
      <c r="E142" s="1">
        <v>-162000000000</v>
      </c>
      <c r="F142" s="1">
        <v>-35000000000</v>
      </c>
      <c r="G142" s="1">
        <v>-259000000000</v>
      </c>
    </row>
    <row r="143" spans="1:7" x14ac:dyDescent="0.35">
      <c r="A143" t="s">
        <v>184</v>
      </c>
      <c r="B143" t="s">
        <v>100</v>
      </c>
      <c r="C143" t="s">
        <v>4</v>
      </c>
      <c r="D143" s="1">
        <v>578000000000</v>
      </c>
      <c r="E143" s="1">
        <v>609000000000</v>
      </c>
      <c r="F143" s="1">
        <v>463000000000</v>
      </c>
      <c r="G143" s="1">
        <v>441000000000</v>
      </c>
    </row>
    <row r="144" spans="1:7" x14ac:dyDescent="0.35">
      <c r="A144" t="s">
        <v>184</v>
      </c>
      <c r="B144" t="s">
        <v>101</v>
      </c>
      <c r="C144" t="s">
        <v>4</v>
      </c>
      <c r="D144" s="1">
        <v>315045000000000</v>
      </c>
      <c r="E144" s="1">
        <v>326953000000000</v>
      </c>
      <c r="F144" s="1">
        <v>347975000000000</v>
      </c>
      <c r="G144" s="1">
        <v>363883000000000</v>
      </c>
    </row>
    <row r="145" spans="1:7" x14ac:dyDescent="0.35">
      <c r="A145" t="s">
        <v>184</v>
      </c>
      <c r="B145" t="s">
        <v>102</v>
      </c>
      <c r="C145" t="s">
        <v>4</v>
      </c>
      <c r="D145" s="1">
        <v>1251000000000</v>
      </c>
      <c r="E145" s="1">
        <v>2525000000000</v>
      </c>
      <c r="F145" s="1">
        <v>2718000000000</v>
      </c>
      <c r="G145" s="1">
        <v>2985000000000</v>
      </c>
    </row>
    <row r="146" spans="1:7" x14ac:dyDescent="0.35">
      <c r="A146" t="s">
        <v>184</v>
      </c>
      <c r="B146" t="s">
        <v>159</v>
      </c>
      <c r="C146" t="s">
        <v>4</v>
      </c>
      <c r="D146" s="1">
        <v>1229000000000</v>
      </c>
      <c r="E146" s="1">
        <v>429000000000</v>
      </c>
      <c r="F146" s="1">
        <v>936000000000</v>
      </c>
      <c r="G146" s="1">
        <v>1423000000000</v>
      </c>
    </row>
    <row r="147" spans="1:7" x14ac:dyDescent="0.35">
      <c r="A147" t="s">
        <v>184</v>
      </c>
      <c r="B147" t="s">
        <v>103</v>
      </c>
      <c r="C147" t="s">
        <v>4</v>
      </c>
      <c r="D147" s="1">
        <v>20290000000000</v>
      </c>
      <c r="E147" s="1">
        <v>21702000000000</v>
      </c>
      <c r="F147" s="1">
        <v>24292000000000</v>
      </c>
      <c r="G147" s="1">
        <v>23574000000000</v>
      </c>
    </row>
    <row r="148" spans="1:7" x14ac:dyDescent="0.35">
      <c r="A148" t="s">
        <v>184</v>
      </c>
      <c r="B148" t="s">
        <v>203</v>
      </c>
      <c r="C148" t="s">
        <v>4</v>
      </c>
      <c r="D148" s="1">
        <v>34555000000000</v>
      </c>
      <c r="E148" s="1">
        <v>37587000000000</v>
      </c>
      <c r="F148" s="1">
        <v>39737000000000</v>
      </c>
      <c r="G148" s="1">
        <v>36653000000000</v>
      </c>
    </row>
    <row r="149" spans="1:7" x14ac:dyDescent="0.35">
      <c r="A149" t="s">
        <v>184</v>
      </c>
      <c r="B149" t="s">
        <v>160</v>
      </c>
      <c r="C149" t="s">
        <v>13</v>
      </c>
      <c r="D149" s="1">
        <v>-11057000000000</v>
      </c>
      <c r="E149" s="1">
        <v>-13262000000000</v>
      </c>
      <c r="F149" s="1">
        <v>-14052000000000</v>
      </c>
      <c r="G149" s="1">
        <v>-16116000000000</v>
      </c>
    </row>
    <row r="150" spans="1:7" x14ac:dyDescent="0.35">
      <c r="A150" t="s">
        <v>184</v>
      </c>
      <c r="B150" t="s">
        <v>104</v>
      </c>
      <c r="C150" t="s">
        <v>13</v>
      </c>
      <c r="D150" s="1">
        <v>-3731000000000</v>
      </c>
      <c r="E150" s="1">
        <v>-5308000000000</v>
      </c>
      <c r="F150" s="1"/>
      <c r="G150" s="1"/>
    </row>
    <row r="151" spans="1:7" x14ac:dyDescent="0.35">
      <c r="A151" t="s">
        <v>184</v>
      </c>
      <c r="B151" t="s">
        <v>105</v>
      </c>
      <c r="C151" t="s">
        <v>4</v>
      </c>
      <c r="D151" s="1">
        <v>10369000000000</v>
      </c>
      <c r="E151" s="1">
        <v>8795000000000</v>
      </c>
      <c r="F151" s="1">
        <v>8135000000000</v>
      </c>
      <c r="G151" s="1">
        <v>9216000000000</v>
      </c>
    </row>
    <row r="152" spans="1:7" x14ac:dyDescent="0.35">
      <c r="A152" t="s">
        <v>184</v>
      </c>
      <c r="B152" t="s">
        <v>106</v>
      </c>
      <c r="C152" t="s">
        <v>10</v>
      </c>
      <c r="D152" s="1">
        <v>39147000000000</v>
      </c>
      <c r="E152" s="1">
        <v>43739000000000</v>
      </c>
      <c r="F152" s="1">
        <v>36430000000000</v>
      </c>
      <c r="G152" s="1">
        <v>40855000000000</v>
      </c>
    </row>
    <row r="153" spans="1:7" x14ac:dyDescent="0.35">
      <c r="A153" t="s">
        <v>184</v>
      </c>
      <c r="B153" t="s">
        <v>107</v>
      </c>
      <c r="C153" t="s">
        <v>4</v>
      </c>
      <c r="D153" s="1">
        <v>0</v>
      </c>
      <c r="E153" s="1">
        <v>0</v>
      </c>
      <c r="F153" s="1">
        <v>0</v>
      </c>
      <c r="G153" s="1">
        <v>0</v>
      </c>
    </row>
    <row r="154" spans="1:7" x14ac:dyDescent="0.35">
      <c r="A154" t="s">
        <v>184</v>
      </c>
      <c r="B154" t="s">
        <v>204</v>
      </c>
      <c r="C154" t="s">
        <v>10</v>
      </c>
      <c r="D154" s="1">
        <v>2344000000000</v>
      </c>
      <c r="E154" s="1">
        <v>474000000000</v>
      </c>
      <c r="F154" s="1">
        <v>567000000000</v>
      </c>
      <c r="G154" s="1">
        <v>513000000000</v>
      </c>
    </row>
    <row r="155" spans="1:7" x14ac:dyDescent="0.35">
      <c r="A155" t="s">
        <v>184</v>
      </c>
      <c r="B155" t="s">
        <v>161</v>
      </c>
      <c r="C155" t="s">
        <v>13</v>
      </c>
      <c r="D155" s="1">
        <v>-28000000000</v>
      </c>
      <c r="E155" s="1">
        <v>-42000000000</v>
      </c>
      <c r="F155" s="1"/>
      <c r="G155" s="1"/>
    </row>
    <row r="156" spans="1:7" x14ac:dyDescent="0.35">
      <c r="A156" t="s">
        <v>184</v>
      </c>
      <c r="B156" t="s">
        <v>162</v>
      </c>
      <c r="C156" t="s">
        <v>13</v>
      </c>
      <c r="D156" s="1">
        <v>-2538000000000</v>
      </c>
      <c r="E156" s="1">
        <v>-2845000000000</v>
      </c>
      <c r="F156" s="1">
        <v>-3259000000000</v>
      </c>
      <c r="G156" s="1">
        <v>-2817000000000</v>
      </c>
    </row>
    <row r="157" spans="1:7" x14ac:dyDescent="0.35">
      <c r="A157" t="s">
        <v>184</v>
      </c>
      <c r="B157" t="s">
        <v>170</v>
      </c>
      <c r="C157" t="s">
        <v>13</v>
      </c>
      <c r="D157" s="1">
        <v>-3633000000000</v>
      </c>
      <c r="E157" s="1">
        <v>-6400000000000</v>
      </c>
      <c r="F157" s="1">
        <v>-2255000000000</v>
      </c>
      <c r="G157" s="1">
        <v>-655000000000</v>
      </c>
    </row>
    <row r="158" spans="1:7" x14ac:dyDescent="0.35">
      <c r="A158" t="s">
        <v>184</v>
      </c>
      <c r="B158" t="s">
        <v>108</v>
      </c>
      <c r="C158" t="s">
        <v>13</v>
      </c>
      <c r="D158" s="1">
        <v>-29403000000000</v>
      </c>
      <c r="E158" s="1">
        <v>-29923000000000</v>
      </c>
      <c r="F158" s="1">
        <v>-35010000000000</v>
      </c>
      <c r="G158" s="1">
        <v>-33603000000000</v>
      </c>
    </row>
    <row r="159" spans="1:7" x14ac:dyDescent="0.35">
      <c r="A159" t="s">
        <v>184</v>
      </c>
      <c r="B159" t="s">
        <v>109</v>
      </c>
      <c r="C159" t="s">
        <v>4</v>
      </c>
      <c r="D159" s="1">
        <v>523000000000</v>
      </c>
      <c r="E159" s="1">
        <v>578000000000</v>
      </c>
      <c r="F159" s="1">
        <v>588000000000</v>
      </c>
      <c r="G159" s="1">
        <v>29000000000</v>
      </c>
    </row>
    <row r="160" spans="1:7" x14ac:dyDescent="0.35">
      <c r="A160" t="s">
        <v>184</v>
      </c>
      <c r="B160" t="s">
        <v>110</v>
      </c>
      <c r="C160" t="s">
        <v>13</v>
      </c>
      <c r="D160" s="1">
        <v>133610000000000</v>
      </c>
      <c r="E160" s="1">
        <v>143902000000000</v>
      </c>
      <c r="F160" s="1">
        <v>146268000000000</v>
      </c>
      <c r="G160" s="1">
        <v>148458000000000</v>
      </c>
    </row>
    <row r="161" spans="1:7" x14ac:dyDescent="0.35">
      <c r="A161" t="s">
        <v>184</v>
      </c>
      <c r="B161" t="s">
        <v>182</v>
      </c>
      <c r="C161" t="s">
        <v>4</v>
      </c>
      <c r="D161" s="1">
        <v>12590000000000</v>
      </c>
      <c r="E161" s="1">
        <v>11035000000000</v>
      </c>
      <c r="F161" s="1">
        <v>11352000000000</v>
      </c>
      <c r="G161" s="1">
        <v>13652000000000</v>
      </c>
    </row>
    <row r="162" spans="1:7" x14ac:dyDescent="0.35">
      <c r="A162" t="s">
        <v>184</v>
      </c>
      <c r="B162" t="s">
        <v>183</v>
      </c>
      <c r="C162" t="s">
        <v>4</v>
      </c>
      <c r="D162" s="1">
        <v>-227000000000</v>
      </c>
      <c r="E162" s="1"/>
      <c r="F162" s="1"/>
      <c r="G162" s="1"/>
    </row>
    <row r="163" spans="1:7" x14ac:dyDescent="0.35">
      <c r="A163" t="s">
        <v>184</v>
      </c>
      <c r="B163" t="s">
        <v>111</v>
      </c>
      <c r="C163" t="s">
        <v>10</v>
      </c>
      <c r="D163" s="1">
        <v>39981000000000</v>
      </c>
      <c r="E163" s="1">
        <v>43314000000000</v>
      </c>
      <c r="F163" s="1">
        <v>43624000000000</v>
      </c>
      <c r="G163" s="1">
        <v>46081000000000</v>
      </c>
    </row>
    <row r="164" spans="1:7" x14ac:dyDescent="0.35">
      <c r="A164" t="s">
        <v>184</v>
      </c>
      <c r="B164" t="s">
        <v>112</v>
      </c>
      <c r="C164" t="s">
        <v>10</v>
      </c>
      <c r="D164" s="1">
        <v>28925000000000</v>
      </c>
      <c r="E164" s="1">
        <v>31714000000000</v>
      </c>
      <c r="F164" s="1">
        <v>33129000000000</v>
      </c>
      <c r="G164" s="1">
        <v>32569000000000</v>
      </c>
    </row>
    <row r="165" spans="1:7" x14ac:dyDescent="0.35">
      <c r="A165" t="s">
        <v>184</v>
      </c>
      <c r="B165" t="s">
        <v>163</v>
      </c>
      <c r="C165" t="s">
        <v>10</v>
      </c>
      <c r="D165" s="1">
        <v>3731000000000</v>
      </c>
      <c r="E165" s="1">
        <v>5308000000000</v>
      </c>
      <c r="F165" s="1">
        <v>3873000000000</v>
      </c>
      <c r="G165" s="1">
        <v>3770000000000</v>
      </c>
    </row>
    <row r="166" spans="1:7" x14ac:dyDescent="0.35">
      <c r="A166" t="s">
        <v>184</v>
      </c>
      <c r="B166" t="s">
        <v>113</v>
      </c>
      <c r="C166" t="s">
        <v>13</v>
      </c>
      <c r="D166" s="1">
        <v>-29339000000000</v>
      </c>
      <c r="E166" s="1">
        <v>-47965000000000</v>
      </c>
      <c r="F166" s="1">
        <v>-51328000000000</v>
      </c>
      <c r="G166" s="1">
        <v>-41923000000000</v>
      </c>
    </row>
    <row r="167" spans="1:7" x14ac:dyDescent="0.35">
      <c r="A167" t="s">
        <v>184</v>
      </c>
      <c r="B167" t="s">
        <v>114</v>
      </c>
      <c r="C167" t="s">
        <v>10</v>
      </c>
      <c r="D167" s="1">
        <v>52000000000</v>
      </c>
      <c r="E167" s="1">
        <v>82000000000</v>
      </c>
      <c r="F167" s="1">
        <v>108000000000</v>
      </c>
      <c r="G167" s="1"/>
    </row>
    <row r="168" spans="1:7" x14ac:dyDescent="0.35">
      <c r="A168" t="s">
        <v>184</v>
      </c>
      <c r="B168" t="s">
        <v>176</v>
      </c>
      <c r="C168" t="s">
        <v>4</v>
      </c>
      <c r="D168" s="1">
        <v>74000000000</v>
      </c>
      <c r="E168" s="1">
        <v>64000000000</v>
      </c>
      <c r="F168" s="1">
        <v>413000000000</v>
      </c>
      <c r="G168" s="1">
        <v>238000000000</v>
      </c>
    </row>
    <row r="169" spans="1:7" x14ac:dyDescent="0.35">
      <c r="A169" t="s">
        <v>184</v>
      </c>
      <c r="B169" t="s">
        <v>115</v>
      </c>
      <c r="C169" t="s">
        <v>4</v>
      </c>
      <c r="D169" s="1">
        <v>95208000000000</v>
      </c>
      <c r="E169" s="1">
        <v>114438000000000</v>
      </c>
      <c r="F169" s="1">
        <v>121730000000000</v>
      </c>
      <c r="G169" s="1">
        <v>128146000000000</v>
      </c>
    </row>
    <row r="170" spans="1:7" x14ac:dyDescent="0.35">
      <c r="A170" t="s">
        <v>184</v>
      </c>
      <c r="B170" t="s">
        <v>205</v>
      </c>
      <c r="C170" t="s">
        <v>10</v>
      </c>
      <c r="D170" s="1">
        <v>14921000000000</v>
      </c>
      <c r="E170" s="1">
        <v>16021000000000</v>
      </c>
      <c r="F170" s="1">
        <v>15496000000000</v>
      </c>
      <c r="G170" s="1">
        <v>16620000000000</v>
      </c>
    </row>
    <row r="171" spans="1:7" x14ac:dyDescent="0.35">
      <c r="A171" t="s">
        <v>184</v>
      </c>
      <c r="B171" t="s">
        <v>177</v>
      </c>
      <c r="C171" t="s">
        <v>13</v>
      </c>
      <c r="D171" s="1">
        <v>0</v>
      </c>
      <c r="E171" s="1">
        <v>0</v>
      </c>
      <c r="F171" s="1"/>
      <c r="G171" s="1"/>
    </row>
    <row r="172" spans="1:7" x14ac:dyDescent="0.35">
      <c r="A172" t="s">
        <v>184</v>
      </c>
      <c r="B172" t="s">
        <v>171</v>
      </c>
      <c r="C172" t="s">
        <v>13</v>
      </c>
      <c r="D172" s="1"/>
      <c r="E172" s="1">
        <v>807000000000</v>
      </c>
      <c r="F172" s="1"/>
      <c r="G172" s="1"/>
    </row>
    <row r="173" spans="1:7" x14ac:dyDescent="0.35">
      <c r="A173" t="s">
        <v>184</v>
      </c>
      <c r="B173" t="s">
        <v>164</v>
      </c>
      <c r="C173" t="s">
        <v>13</v>
      </c>
      <c r="D173" s="1">
        <v>236000000000</v>
      </c>
      <c r="E173" s="1">
        <v>756000000000</v>
      </c>
      <c r="F173" s="1">
        <v>526000000000</v>
      </c>
      <c r="G173" s="1">
        <v>100000000000</v>
      </c>
    </row>
    <row r="174" spans="1:7" x14ac:dyDescent="0.35">
      <c r="A174" t="s">
        <v>184</v>
      </c>
      <c r="B174" t="s">
        <v>116</v>
      </c>
      <c r="C174" t="s">
        <v>10</v>
      </c>
      <c r="D174" s="1">
        <v>3482000000000</v>
      </c>
      <c r="E174" s="1">
        <v>3633000000000</v>
      </c>
      <c r="F174" s="1">
        <v>3929000000000</v>
      </c>
      <c r="G174" s="1">
        <v>3530000000000</v>
      </c>
    </row>
    <row r="175" spans="1:7" x14ac:dyDescent="0.35">
      <c r="A175" t="s">
        <v>184</v>
      </c>
      <c r="B175" t="s">
        <v>117</v>
      </c>
      <c r="C175" t="s">
        <v>10</v>
      </c>
      <c r="D175" s="1">
        <v>22040000000000</v>
      </c>
      <c r="E175" s="1">
        <v>23699000000000</v>
      </c>
      <c r="F175" s="1">
        <v>24123000000000</v>
      </c>
      <c r="G175" s="1">
        <v>25043000000000</v>
      </c>
    </row>
    <row r="176" spans="1:7" x14ac:dyDescent="0.35">
      <c r="A176" t="s">
        <v>184</v>
      </c>
      <c r="B176" t="s">
        <v>118</v>
      </c>
      <c r="C176" t="s">
        <v>4</v>
      </c>
      <c r="D176" s="1">
        <v>99062216600</v>
      </c>
      <c r="E176" s="1">
        <v>99062216600</v>
      </c>
      <c r="F176" s="1">
        <v>99062216600</v>
      </c>
      <c r="G176" s="1">
        <v>99062216600</v>
      </c>
    </row>
    <row r="177" spans="1:7" x14ac:dyDescent="0.35">
      <c r="A177" t="s">
        <v>184</v>
      </c>
      <c r="B177" t="s">
        <v>165</v>
      </c>
      <c r="C177" t="s">
        <v>13</v>
      </c>
      <c r="D177" s="1">
        <v>24469000000000</v>
      </c>
      <c r="E177" s="1">
        <v>46612000000000</v>
      </c>
      <c r="F177" s="1">
        <v>35958000000000</v>
      </c>
      <c r="G177" s="1">
        <v>38834000000000</v>
      </c>
    </row>
    <row r="178" spans="1:7" x14ac:dyDescent="0.35">
      <c r="A178" t="s">
        <v>184</v>
      </c>
      <c r="B178" t="s">
        <v>166</v>
      </c>
      <c r="C178" t="s">
        <v>13</v>
      </c>
      <c r="D178" s="1"/>
      <c r="E178" s="1">
        <v>-43740000000000</v>
      </c>
      <c r="F178" s="1">
        <v>-44304000000000</v>
      </c>
      <c r="G178" s="1">
        <v>-35323000000000</v>
      </c>
    </row>
    <row r="179" spans="1:7" x14ac:dyDescent="0.35">
      <c r="A179" t="s">
        <v>184</v>
      </c>
      <c r="B179" t="s">
        <v>119</v>
      </c>
      <c r="C179" t="s">
        <v>10</v>
      </c>
      <c r="D179" s="1">
        <v>-763000000000</v>
      </c>
      <c r="E179" s="1">
        <v>0</v>
      </c>
      <c r="F179" s="1">
        <v>0</v>
      </c>
      <c r="G179" s="1"/>
    </row>
    <row r="180" spans="1:7" x14ac:dyDescent="0.35">
      <c r="A180" t="s">
        <v>184</v>
      </c>
      <c r="B180" t="s">
        <v>120</v>
      </c>
      <c r="C180" t="s">
        <v>4</v>
      </c>
      <c r="D180" s="1">
        <v>102374000000000</v>
      </c>
      <c r="E180" s="1">
        <v>121631000000000</v>
      </c>
      <c r="F180" s="1">
        <v>129224000000000</v>
      </c>
      <c r="G180" s="1">
        <v>135576000000000</v>
      </c>
    </row>
    <row r="181" spans="1:7" x14ac:dyDescent="0.35">
      <c r="A181" t="s">
        <v>184</v>
      </c>
      <c r="B181" t="s">
        <v>121</v>
      </c>
      <c r="C181" t="s">
        <v>4</v>
      </c>
      <c r="D181" s="1">
        <v>88884000000000</v>
      </c>
      <c r="E181" s="1">
        <v>107215000000000</v>
      </c>
      <c r="F181" s="1">
        <v>114183000000000</v>
      </c>
      <c r="G181" s="1">
        <v>118724000000000</v>
      </c>
    </row>
    <row r="182" spans="1:7" x14ac:dyDescent="0.35">
      <c r="A182" t="s">
        <v>184</v>
      </c>
      <c r="B182" t="s">
        <v>122</v>
      </c>
      <c r="C182" t="s">
        <v>10</v>
      </c>
      <c r="D182" s="1">
        <v>-1.7025672465323E+16</v>
      </c>
      <c r="E182" s="1">
        <v>7674267815907990</v>
      </c>
      <c r="F182" s="1">
        <v>-1.47804611583859E+16</v>
      </c>
      <c r="G182" s="1">
        <v>-1686209276710310</v>
      </c>
    </row>
    <row r="183" spans="1:7" x14ac:dyDescent="0.35">
      <c r="A183" t="s">
        <v>184</v>
      </c>
      <c r="B183" t="s">
        <v>123</v>
      </c>
      <c r="C183" t="s">
        <v>10</v>
      </c>
      <c r="D183" s="1">
        <v>9257000000000</v>
      </c>
      <c r="E183" s="1">
        <v>9640000000000</v>
      </c>
      <c r="F183" s="1">
        <v>8710000000000</v>
      </c>
      <c r="G183" s="1">
        <v>8787000000000</v>
      </c>
    </row>
    <row r="184" spans="1:7" x14ac:dyDescent="0.35">
      <c r="A184" t="s">
        <v>184</v>
      </c>
      <c r="B184" t="s">
        <v>124</v>
      </c>
      <c r="C184" t="s">
        <v>10</v>
      </c>
      <c r="D184" s="1">
        <v>0.23646800000000001</v>
      </c>
      <c r="E184" s="1">
        <v>0.22039800000000001</v>
      </c>
      <c r="F184" s="1">
        <v>0.239089</v>
      </c>
      <c r="G184" s="1">
        <v>0.21507799999999999</v>
      </c>
    </row>
    <row r="185" spans="1:7" x14ac:dyDescent="0.35">
      <c r="A185" t="s">
        <v>184</v>
      </c>
      <c r="B185" t="s">
        <v>125</v>
      </c>
      <c r="C185" t="s">
        <v>13</v>
      </c>
      <c r="D185" s="1">
        <v>-9358000000000</v>
      </c>
      <c r="E185" s="1">
        <v>-7995000000000</v>
      </c>
      <c r="F185" s="1">
        <v>-6569000000000</v>
      </c>
      <c r="G185" s="1">
        <v>-11475000000000</v>
      </c>
    </row>
    <row r="186" spans="1:7" x14ac:dyDescent="0.35">
      <c r="A186" t="s">
        <v>184</v>
      </c>
      <c r="B186" t="s">
        <v>126</v>
      </c>
      <c r="C186" t="s">
        <v>4</v>
      </c>
      <c r="D186" s="1">
        <v>245873000000000</v>
      </c>
      <c r="E186" s="1">
        <v>276158000000000</v>
      </c>
      <c r="F186" s="1">
        <v>274817000000000</v>
      </c>
      <c r="G186" s="1">
        <v>286592000000000</v>
      </c>
    </row>
    <row r="187" spans="1:7" x14ac:dyDescent="0.35">
      <c r="A187" t="s">
        <v>184</v>
      </c>
      <c r="B187" t="s">
        <v>127</v>
      </c>
      <c r="C187" t="s">
        <v>4</v>
      </c>
      <c r="D187" s="1">
        <v>132935000000000</v>
      </c>
      <c r="E187" s="1">
        <v>157950000000000</v>
      </c>
      <c r="F187" s="1">
        <v>156555000000000</v>
      </c>
      <c r="G187" s="1">
        <v>163349000000000</v>
      </c>
    </row>
    <row r="188" spans="1:7" x14ac:dyDescent="0.35">
      <c r="A188" t="s">
        <v>184</v>
      </c>
      <c r="B188" t="s">
        <v>128</v>
      </c>
      <c r="C188" t="s">
        <v>4</v>
      </c>
      <c r="D188" s="1">
        <v>64722000000000</v>
      </c>
      <c r="E188" s="1">
        <v>68579000000000</v>
      </c>
      <c r="F188" s="1">
        <v>62853000000000</v>
      </c>
      <c r="G188" s="1">
        <v>68001000000000</v>
      </c>
    </row>
    <row r="189" spans="1:7" x14ac:dyDescent="0.35">
      <c r="A189" t="s">
        <v>184</v>
      </c>
      <c r="B189" t="s">
        <v>129</v>
      </c>
      <c r="C189" t="s">
        <v>4</v>
      </c>
      <c r="D189" s="1">
        <v>120514000000000</v>
      </c>
      <c r="E189" s="1">
        <v>145172000000000</v>
      </c>
      <c r="F189" s="1">
        <v>149075000000000</v>
      </c>
      <c r="G189" s="1">
        <v>156235000000000</v>
      </c>
    </row>
    <row r="190" spans="1:7" x14ac:dyDescent="0.35">
      <c r="A190" t="s">
        <v>184</v>
      </c>
      <c r="B190" t="s">
        <v>130</v>
      </c>
      <c r="C190" t="s">
        <v>10</v>
      </c>
      <c r="D190" s="1">
        <v>92532000000000</v>
      </c>
      <c r="E190" s="1">
        <v>99039000000000</v>
      </c>
      <c r="F190" s="1">
        <v>101408000000000</v>
      </c>
      <c r="G190" s="1">
        <v>103947000000000</v>
      </c>
    </row>
    <row r="191" spans="1:7" x14ac:dyDescent="0.35">
      <c r="A191" t="s">
        <v>184</v>
      </c>
      <c r="B191" t="s">
        <v>131</v>
      </c>
      <c r="C191" t="s">
        <v>4</v>
      </c>
      <c r="D191" s="1">
        <v>125359000000000</v>
      </c>
      <c r="E191" s="1">
        <v>130986000000000</v>
      </c>
      <c r="F191" s="1">
        <v>125742000000000</v>
      </c>
      <c r="G191" s="1">
        <v>130357000000000</v>
      </c>
    </row>
    <row r="192" spans="1:7" x14ac:dyDescent="0.35">
      <c r="A192" t="s">
        <v>184</v>
      </c>
      <c r="B192" t="s">
        <v>132</v>
      </c>
      <c r="C192" t="s">
        <v>4</v>
      </c>
      <c r="D192" s="1">
        <v>199344000000000</v>
      </c>
      <c r="E192" s="1">
        <v>214870000000000</v>
      </c>
      <c r="F192" s="1">
        <v>219744000000000</v>
      </c>
      <c r="G192" s="1">
        <v>230964000000000</v>
      </c>
    </row>
    <row r="193" spans="1:7" x14ac:dyDescent="0.35">
      <c r="A193" t="s">
        <v>184</v>
      </c>
      <c r="B193" t="s">
        <v>133</v>
      </c>
      <c r="C193" t="s">
        <v>4</v>
      </c>
      <c r="D193" s="1">
        <v>56859000000000</v>
      </c>
      <c r="E193" s="1">
        <v>62291000000000</v>
      </c>
      <c r="F193" s="1">
        <v>55507000000000</v>
      </c>
      <c r="G193" s="1">
        <v>58906000000000</v>
      </c>
    </row>
    <row r="194" spans="1:7" x14ac:dyDescent="0.35">
      <c r="A194" t="s">
        <v>184</v>
      </c>
      <c r="B194" t="s">
        <v>178</v>
      </c>
      <c r="C194" t="s">
        <v>10</v>
      </c>
      <c r="D194" s="1">
        <v>43958000000000</v>
      </c>
      <c r="E194" s="1">
        <v>47653000000000</v>
      </c>
      <c r="F194" s="1">
        <v>39716000000000</v>
      </c>
      <c r="G194" s="1">
        <v>44485000000000</v>
      </c>
    </row>
    <row r="195" spans="1:7" x14ac:dyDescent="0.35">
      <c r="A195" t="s">
        <v>184</v>
      </c>
      <c r="B195" t="s">
        <v>134</v>
      </c>
      <c r="C195" t="s">
        <v>10</v>
      </c>
      <c r="D195" s="1">
        <v>136447000000000</v>
      </c>
      <c r="E195" s="1">
        <v>143210000000000</v>
      </c>
      <c r="F195" s="1">
        <v>147306000000000</v>
      </c>
      <c r="G195" s="1">
        <v>149216000000000</v>
      </c>
    </row>
    <row r="196" spans="1:7" x14ac:dyDescent="0.35">
      <c r="A196" t="s">
        <v>184</v>
      </c>
      <c r="B196" t="s">
        <v>135</v>
      </c>
      <c r="C196" t="s">
        <v>4</v>
      </c>
      <c r="D196" s="1">
        <v>2713000000000</v>
      </c>
      <c r="E196" s="1">
        <v>3923000000000</v>
      </c>
      <c r="F196" s="1">
        <v>5372000000000</v>
      </c>
      <c r="G196" s="1">
        <v>4525000000000</v>
      </c>
    </row>
    <row r="197" spans="1:7" x14ac:dyDescent="0.35">
      <c r="A197" t="s">
        <v>184</v>
      </c>
      <c r="B197" t="s">
        <v>136</v>
      </c>
      <c r="C197" t="s">
        <v>10</v>
      </c>
      <c r="D197" s="1">
        <v>-720000000000</v>
      </c>
      <c r="E197" s="1">
        <v>3482000000000</v>
      </c>
      <c r="F197" s="1">
        <v>-6182000000000</v>
      </c>
      <c r="G197" s="1">
        <v>-784000000000</v>
      </c>
    </row>
    <row r="198" spans="1:7" x14ac:dyDescent="0.35">
      <c r="A198" t="s">
        <v>184</v>
      </c>
      <c r="B198" t="s">
        <v>137</v>
      </c>
      <c r="C198" t="s">
        <v>10</v>
      </c>
      <c r="D198" s="1">
        <v>-720000000000</v>
      </c>
      <c r="E198" s="1">
        <v>3482000000000</v>
      </c>
      <c r="F198" s="1">
        <v>-6182000000000</v>
      </c>
      <c r="G198" s="1">
        <v>-784000000000</v>
      </c>
    </row>
    <row r="199" spans="1:7" x14ac:dyDescent="0.35">
      <c r="A199" t="s">
        <v>184</v>
      </c>
      <c r="B199" t="s">
        <v>138</v>
      </c>
      <c r="C199" t="s">
        <v>4</v>
      </c>
      <c r="D199" s="1">
        <v>-21971000000000</v>
      </c>
      <c r="E199" s="1">
        <v>-7407000000000</v>
      </c>
      <c r="F199" s="1">
        <v>-15162000000000</v>
      </c>
      <c r="G199" s="1">
        <v>-15823000000000</v>
      </c>
    </row>
    <row r="200" spans="1:7" x14ac:dyDescent="0.35">
      <c r="A200" t="s">
        <v>184</v>
      </c>
      <c r="B200" t="s">
        <v>139</v>
      </c>
      <c r="C200" t="s">
        <v>10</v>
      </c>
      <c r="D200" s="1">
        <v>763000000000</v>
      </c>
      <c r="E200" s="1">
        <v>0</v>
      </c>
      <c r="F200" s="1">
        <v>0</v>
      </c>
      <c r="G200" s="1"/>
    </row>
    <row r="202" spans="1:7" x14ac:dyDescent="0.35">
      <c r="D202" s="1"/>
    </row>
    <row r="203" spans="1:7" x14ac:dyDescent="0.35">
      <c r="D2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C323-E932-47A4-B472-0896993A4B1E}">
  <dimension ref="A1:G56"/>
  <sheetViews>
    <sheetView topLeftCell="A28" workbookViewId="0">
      <selection activeCell="B42" sqref="B42"/>
    </sheetView>
  </sheetViews>
  <sheetFormatPr defaultRowHeight="14.5" x14ac:dyDescent="0.35"/>
  <cols>
    <col min="1" max="1" width="6.54296875" bestFit="1" customWidth="1"/>
    <col min="2" max="2" width="49.81640625" bestFit="1" customWidth="1"/>
    <col min="3" max="3" width="4.26953125" bestFit="1" customWidth="1"/>
    <col min="4" max="4" width="24.6328125" bestFit="1" customWidth="1"/>
    <col min="5" max="5" width="23.6328125" bestFit="1" customWidth="1"/>
    <col min="6" max="6" width="24.6328125" bestFit="1" customWidth="1"/>
    <col min="7" max="7" width="23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>
        <v>2020</v>
      </c>
      <c r="E1">
        <v>2021</v>
      </c>
      <c r="F1">
        <v>2022</v>
      </c>
      <c r="G1">
        <v>2023</v>
      </c>
    </row>
    <row r="2" spans="1:7" x14ac:dyDescent="0.35">
      <c r="A2" t="s">
        <v>184</v>
      </c>
      <c r="B2" t="s">
        <v>9</v>
      </c>
      <c r="C2" t="s">
        <v>10</v>
      </c>
      <c r="D2" s="1">
        <v>99062216600</v>
      </c>
      <c r="E2" s="1">
        <v>99062216600</v>
      </c>
      <c r="F2" s="1">
        <v>99062216599</v>
      </c>
      <c r="G2" s="1">
        <v>99062216600</v>
      </c>
    </row>
    <row r="3" spans="1:7" x14ac:dyDescent="0.35">
      <c r="A3" t="s">
        <v>184</v>
      </c>
      <c r="B3" t="s">
        <v>11</v>
      </c>
      <c r="C3" t="s">
        <v>10</v>
      </c>
      <c r="D3" s="1">
        <v>212.51</v>
      </c>
      <c r="E3" s="1">
        <v>251.13</v>
      </c>
      <c r="F3" s="1">
        <v>209.49</v>
      </c>
      <c r="G3" s="1">
        <v>247.92</v>
      </c>
    </row>
    <row r="4" spans="1:7" x14ac:dyDescent="0.35">
      <c r="A4" t="s">
        <v>184</v>
      </c>
      <c r="B4" t="s">
        <v>30</v>
      </c>
      <c r="C4" t="s">
        <v>10</v>
      </c>
      <c r="D4" s="1">
        <v>39981000000000</v>
      </c>
      <c r="E4" s="1">
        <v>43314000000000</v>
      </c>
      <c r="F4" s="1">
        <v>43624000000000</v>
      </c>
      <c r="G4" s="1">
        <v>46081000000000</v>
      </c>
    </row>
    <row r="5" spans="1:7" x14ac:dyDescent="0.35">
      <c r="A5" t="s">
        <v>184</v>
      </c>
      <c r="B5" t="s">
        <v>190</v>
      </c>
      <c r="C5" t="s">
        <v>10</v>
      </c>
      <c r="D5" s="1">
        <v>28925000000000</v>
      </c>
      <c r="E5" s="1">
        <v>31714000000000</v>
      </c>
      <c r="F5" s="1">
        <v>33129000000000</v>
      </c>
      <c r="G5" s="1">
        <v>32569000000000</v>
      </c>
    </row>
    <row r="6" spans="1:7" x14ac:dyDescent="0.35">
      <c r="A6" t="s">
        <v>184</v>
      </c>
      <c r="B6" t="s">
        <v>35</v>
      </c>
      <c r="C6" t="s">
        <v>10</v>
      </c>
      <c r="D6" s="1">
        <v>28925000000000</v>
      </c>
      <c r="E6" s="1">
        <v>31714000000000</v>
      </c>
      <c r="F6" s="1">
        <v>33129000000000</v>
      </c>
      <c r="G6" s="1">
        <v>32569000000000</v>
      </c>
    </row>
    <row r="7" spans="1:7" x14ac:dyDescent="0.35">
      <c r="A7" t="s">
        <v>184</v>
      </c>
      <c r="B7" t="s">
        <v>36</v>
      </c>
      <c r="C7" t="s">
        <v>10</v>
      </c>
      <c r="D7" s="1">
        <v>99062216600</v>
      </c>
      <c r="E7" s="1">
        <v>99062216600</v>
      </c>
      <c r="F7" s="1">
        <v>99062216599</v>
      </c>
      <c r="G7" s="1">
        <v>99062216600</v>
      </c>
    </row>
    <row r="8" spans="1:7" x14ac:dyDescent="0.35">
      <c r="A8" t="s">
        <v>184</v>
      </c>
      <c r="B8" t="s">
        <v>37</v>
      </c>
      <c r="C8" t="s">
        <v>10</v>
      </c>
      <c r="D8" s="1">
        <v>212.51</v>
      </c>
      <c r="E8" s="1">
        <v>251.13</v>
      </c>
      <c r="F8" s="1">
        <v>209.49</v>
      </c>
      <c r="G8" s="1">
        <v>247.92</v>
      </c>
    </row>
    <row r="9" spans="1:7" x14ac:dyDescent="0.35">
      <c r="A9" t="s">
        <v>184</v>
      </c>
      <c r="B9" t="s">
        <v>38</v>
      </c>
      <c r="C9" t="s">
        <v>10</v>
      </c>
      <c r="D9" s="1">
        <v>21052000000000</v>
      </c>
      <c r="E9" s="1">
        <v>24877000000000</v>
      </c>
      <c r="F9" s="1">
        <v>20736000000000</v>
      </c>
      <c r="G9" s="1">
        <v>24427000000000</v>
      </c>
    </row>
    <row r="10" spans="1:7" x14ac:dyDescent="0.35">
      <c r="A10" t="s">
        <v>184</v>
      </c>
      <c r="B10" t="s">
        <v>39</v>
      </c>
      <c r="C10" t="s">
        <v>10</v>
      </c>
      <c r="D10" s="1">
        <v>43749000000000</v>
      </c>
      <c r="E10" s="1">
        <v>48133000000000</v>
      </c>
      <c r="F10" s="1">
        <v>40507000000000</v>
      </c>
      <c r="G10" s="1">
        <v>45547000000000</v>
      </c>
    </row>
    <row r="11" spans="1:7" x14ac:dyDescent="0.35">
      <c r="A11" t="s">
        <v>184</v>
      </c>
      <c r="B11" t="s">
        <v>40</v>
      </c>
      <c r="C11" t="s">
        <v>10</v>
      </c>
      <c r="D11" s="1">
        <v>72674000000000</v>
      </c>
      <c r="E11" s="1">
        <v>79847000000000</v>
      </c>
      <c r="F11" s="1">
        <v>73636000000000</v>
      </c>
      <c r="G11" s="1">
        <v>78116000000000</v>
      </c>
    </row>
    <row r="12" spans="1:7" x14ac:dyDescent="0.35">
      <c r="A12" t="s">
        <v>184</v>
      </c>
      <c r="B12" t="s">
        <v>191</v>
      </c>
      <c r="C12" t="s">
        <v>10</v>
      </c>
      <c r="D12" s="1">
        <v>-246000000000</v>
      </c>
      <c r="E12" s="1">
        <v>-78000000000</v>
      </c>
      <c r="F12" s="1">
        <v>-87000000000</v>
      </c>
      <c r="G12" s="1">
        <v>1000000000</v>
      </c>
    </row>
    <row r="13" spans="1:7" x14ac:dyDescent="0.35">
      <c r="A13" t="s">
        <v>184</v>
      </c>
      <c r="B13" t="s">
        <v>181</v>
      </c>
      <c r="C13" t="s">
        <v>10</v>
      </c>
      <c r="D13" s="1">
        <v>43000000000</v>
      </c>
      <c r="E13" s="1">
        <v>3482000000000</v>
      </c>
      <c r="F13" s="1">
        <v>-6182000000000</v>
      </c>
      <c r="G13" s="1">
        <v>-784000000000</v>
      </c>
    </row>
    <row r="14" spans="1:7" x14ac:dyDescent="0.35">
      <c r="A14" t="s">
        <v>184</v>
      </c>
      <c r="B14" t="s">
        <v>46</v>
      </c>
      <c r="C14" t="s">
        <v>10</v>
      </c>
      <c r="D14" s="1">
        <v>18558000000000</v>
      </c>
      <c r="E14" s="1">
        <v>20066000000000</v>
      </c>
      <c r="F14" s="1">
        <v>20194000000000</v>
      </c>
      <c r="G14" s="1">
        <v>21513000000000</v>
      </c>
    </row>
    <row r="15" spans="1:7" x14ac:dyDescent="0.35">
      <c r="A15" t="s">
        <v>184</v>
      </c>
      <c r="B15" t="s">
        <v>51</v>
      </c>
      <c r="C15" t="s">
        <v>10</v>
      </c>
      <c r="D15" s="1">
        <v>96466000000000</v>
      </c>
      <c r="E15" s="1">
        <v>99896000000000</v>
      </c>
      <c r="F15" s="1">
        <v>103682000000000</v>
      </c>
      <c r="G15" s="1">
        <v>103135000000000</v>
      </c>
    </row>
    <row r="16" spans="1:7" x14ac:dyDescent="0.35">
      <c r="A16" t="s">
        <v>184</v>
      </c>
      <c r="B16" t="s">
        <v>52</v>
      </c>
      <c r="C16" t="s">
        <v>10</v>
      </c>
      <c r="D16" s="1">
        <v>4602000000000</v>
      </c>
      <c r="E16" s="1">
        <v>4394000000000</v>
      </c>
      <c r="F16" s="1">
        <v>4077000000000</v>
      </c>
      <c r="G16" s="1">
        <v>4692000000000</v>
      </c>
    </row>
    <row r="17" spans="1:7" x14ac:dyDescent="0.35">
      <c r="A17" t="s">
        <v>184</v>
      </c>
      <c r="B17" t="s">
        <v>53</v>
      </c>
      <c r="C17" t="s">
        <v>10</v>
      </c>
      <c r="D17" s="1">
        <v>4602000000000</v>
      </c>
      <c r="E17" s="1">
        <v>4394000000000</v>
      </c>
      <c r="F17" s="1">
        <v>4077000000000</v>
      </c>
      <c r="G17" s="1">
        <v>4692000000000</v>
      </c>
    </row>
    <row r="18" spans="1:7" x14ac:dyDescent="0.35">
      <c r="A18" t="s">
        <v>184</v>
      </c>
      <c r="B18" t="s">
        <v>54</v>
      </c>
      <c r="C18" t="s">
        <v>10</v>
      </c>
      <c r="D18" s="1">
        <v>800000000000</v>
      </c>
      <c r="E18" s="1">
        <v>558000000000</v>
      </c>
      <c r="F18" s="1">
        <v>878000000000</v>
      </c>
      <c r="G18" s="1">
        <v>1061000000000</v>
      </c>
    </row>
    <row r="19" spans="1:7" x14ac:dyDescent="0.35">
      <c r="A19" t="s">
        <v>184</v>
      </c>
      <c r="B19" t="s">
        <v>55</v>
      </c>
      <c r="C19" t="s">
        <v>10</v>
      </c>
      <c r="D19" s="1">
        <v>800000000000</v>
      </c>
      <c r="E19" s="1">
        <v>558000000000</v>
      </c>
      <c r="F19" s="1">
        <v>878000000000</v>
      </c>
      <c r="G19" s="1">
        <v>1061000000000</v>
      </c>
    </row>
    <row r="20" spans="1:7" x14ac:dyDescent="0.35">
      <c r="A20" t="s">
        <v>184</v>
      </c>
      <c r="B20" t="s">
        <v>68</v>
      </c>
      <c r="C20" t="s">
        <v>10</v>
      </c>
      <c r="D20" s="1">
        <v>-8838000000000</v>
      </c>
      <c r="E20" s="1">
        <v>-9222000000000</v>
      </c>
      <c r="F20" s="1">
        <v>-6984000000000</v>
      </c>
      <c r="G20" s="1">
        <v>-7641000000000</v>
      </c>
    </row>
    <row r="21" spans="1:7" x14ac:dyDescent="0.35">
      <c r="A21" t="s">
        <v>184</v>
      </c>
      <c r="B21" t="s">
        <v>70</v>
      </c>
      <c r="C21" t="s">
        <v>10</v>
      </c>
      <c r="D21" s="1">
        <v>21052000000000</v>
      </c>
      <c r="E21" s="1">
        <v>24877000000000</v>
      </c>
      <c r="F21" s="1">
        <v>20736000000000</v>
      </c>
      <c r="G21" s="1">
        <v>24427000000000</v>
      </c>
    </row>
    <row r="22" spans="1:7" x14ac:dyDescent="0.35">
      <c r="A22" t="s">
        <v>184</v>
      </c>
      <c r="B22" t="s">
        <v>71</v>
      </c>
      <c r="C22" t="s">
        <v>10</v>
      </c>
      <c r="D22" s="1">
        <v>21052000000000</v>
      </c>
      <c r="E22" s="1">
        <v>24877000000000</v>
      </c>
      <c r="F22" s="1">
        <v>20736000000000</v>
      </c>
      <c r="G22" s="1">
        <v>24427000000000</v>
      </c>
    </row>
    <row r="23" spans="1:7" x14ac:dyDescent="0.35">
      <c r="A23" t="s">
        <v>184</v>
      </c>
      <c r="B23" t="s">
        <v>72</v>
      </c>
      <c r="C23" t="s">
        <v>10</v>
      </c>
      <c r="D23" s="1">
        <v>29890000000000</v>
      </c>
      <c r="E23" s="1">
        <v>34099000000000</v>
      </c>
      <c r="F23" s="1">
        <v>27720000000000</v>
      </c>
      <c r="G23" s="1">
        <v>32068000000000</v>
      </c>
    </row>
    <row r="24" spans="1:7" x14ac:dyDescent="0.35">
      <c r="A24" t="s">
        <v>184</v>
      </c>
      <c r="B24" t="s">
        <v>73</v>
      </c>
      <c r="C24" t="s">
        <v>10</v>
      </c>
      <c r="D24" s="1">
        <v>21052000000000</v>
      </c>
      <c r="E24" s="1">
        <v>24877000000000</v>
      </c>
      <c r="F24" s="1">
        <v>20736000000000</v>
      </c>
      <c r="G24" s="1">
        <v>24427000000000</v>
      </c>
    </row>
    <row r="25" spans="1:7" x14ac:dyDescent="0.35">
      <c r="A25" t="s">
        <v>184</v>
      </c>
      <c r="B25" t="s">
        <v>74</v>
      </c>
      <c r="C25" t="s">
        <v>10</v>
      </c>
      <c r="D25" s="1">
        <v>21052000000000</v>
      </c>
      <c r="E25" s="1">
        <v>24877000000000</v>
      </c>
      <c r="F25" s="1">
        <v>20736000000000</v>
      </c>
      <c r="G25" s="1">
        <v>24427000000000</v>
      </c>
    </row>
    <row r="26" spans="1:7" x14ac:dyDescent="0.35">
      <c r="A26" t="s">
        <v>184</v>
      </c>
      <c r="B26" t="s">
        <v>75</v>
      </c>
      <c r="C26" t="s">
        <v>10</v>
      </c>
      <c r="D26" s="1">
        <v>29890000000000</v>
      </c>
      <c r="E26" s="1">
        <v>34099000000000</v>
      </c>
      <c r="F26" s="1">
        <v>27720000000000</v>
      </c>
      <c r="G26" s="1">
        <v>32068000000000</v>
      </c>
    </row>
    <row r="27" spans="1:7" x14ac:dyDescent="0.35">
      <c r="A27" t="s">
        <v>184</v>
      </c>
      <c r="B27" t="s">
        <v>76</v>
      </c>
      <c r="C27" t="s">
        <v>10</v>
      </c>
      <c r="D27" s="1">
        <v>-3802000000000</v>
      </c>
      <c r="E27" s="1">
        <v>-3836000000000</v>
      </c>
      <c r="F27" s="1">
        <v>-3199000000000</v>
      </c>
      <c r="G27" s="1">
        <v>-3631000000000</v>
      </c>
    </row>
    <row r="28" spans="1:7" x14ac:dyDescent="0.35">
      <c r="A28" t="s">
        <v>184</v>
      </c>
      <c r="B28" t="s">
        <v>79</v>
      </c>
      <c r="C28" t="s">
        <v>10</v>
      </c>
      <c r="D28" s="1">
        <v>-3802000000000</v>
      </c>
      <c r="E28" s="1">
        <v>-3836000000000</v>
      </c>
      <c r="F28" s="1">
        <v>-3199000000000</v>
      </c>
      <c r="G28" s="1">
        <v>-3631000000000</v>
      </c>
    </row>
    <row r="29" spans="1:7" x14ac:dyDescent="0.35">
      <c r="A29" t="s">
        <v>184</v>
      </c>
      <c r="B29" t="s">
        <v>88</v>
      </c>
      <c r="C29" t="s">
        <v>10</v>
      </c>
      <c r="D29" s="1">
        <v>73394000000000</v>
      </c>
      <c r="E29" s="1">
        <v>76365000000000</v>
      </c>
      <c r="F29" s="1">
        <v>79818000000000</v>
      </c>
      <c r="G29" s="1">
        <v>78900000000000</v>
      </c>
    </row>
    <row r="30" spans="1:7" x14ac:dyDescent="0.35">
      <c r="A30" t="s">
        <v>184</v>
      </c>
      <c r="B30" t="s">
        <v>89</v>
      </c>
      <c r="C30" t="s">
        <v>10</v>
      </c>
      <c r="D30" s="1">
        <v>21601743275346.699</v>
      </c>
      <c r="E30" s="1">
        <v>22162426781590.801</v>
      </c>
      <c r="F30" s="1">
        <v>2.54399538841614E+16</v>
      </c>
      <c r="G30" s="1">
        <v>25042379072328.898</v>
      </c>
    </row>
    <row r="31" spans="1:7" x14ac:dyDescent="0.35">
      <c r="A31" t="s">
        <v>184</v>
      </c>
      <c r="B31" t="s">
        <v>90</v>
      </c>
      <c r="C31" t="s">
        <v>10</v>
      </c>
      <c r="D31" s="1">
        <v>52551000000000</v>
      </c>
      <c r="E31" s="1">
        <v>55725000000000</v>
      </c>
      <c r="F31" s="1">
        <v>57784000000000</v>
      </c>
      <c r="G31" s="1">
        <v>57866000000000</v>
      </c>
    </row>
    <row r="32" spans="1:7" x14ac:dyDescent="0.35">
      <c r="A32" t="s">
        <v>184</v>
      </c>
      <c r="B32" t="s">
        <v>91</v>
      </c>
      <c r="C32" t="s">
        <v>10</v>
      </c>
      <c r="D32" s="1">
        <v>43915000000000</v>
      </c>
      <c r="E32" s="1">
        <v>44171000000000</v>
      </c>
      <c r="F32" s="1">
        <v>45898000000000</v>
      </c>
      <c r="G32" s="1">
        <v>45269000000000</v>
      </c>
    </row>
    <row r="33" spans="1:7" x14ac:dyDescent="0.35">
      <c r="A33" t="s">
        <v>184</v>
      </c>
      <c r="B33" t="s">
        <v>92</v>
      </c>
      <c r="C33" t="s">
        <v>10</v>
      </c>
      <c r="D33" s="1">
        <v>136447000000000</v>
      </c>
      <c r="E33" s="1">
        <v>137095000000000</v>
      </c>
      <c r="F33" s="1">
        <v>141472000000000</v>
      </c>
      <c r="G33" s="1">
        <v>143033000000000</v>
      </c>
    </row>
    <row r="34" spans="1:7" x14ac:dyDescent="0.35">
      <c r="A34" t="s">
        <v>184</v>
      </c>
      <c r="B34" t="s">
        <v>202</v>
      </c>
      <c r="C34" t="s">
        <v>10</v>
      </c>
      <c r="D34" s="1">
        <v>3637000000000</v>
      </c>
      <c r="E34" s="1">
        <v>4045000000000</v>
      </c>
      <c r="F34" s="1">
        <v>4698000000000</v>
      </c>
      <c r="G34" s="1">
        <v>4893000000000</v>
      </c>
    </row>
    <row r="35" spans="1:7" x14ac:dyDescent="0.35">
      <c r="A35" t="s">
        <v>184</v>
      </c>
      <c r="B35" t="s">
        <v>169</v>
      </c>
      <c r="C35" t="s">
        <v>10</v>
      </c>
      <c r="D35" s="1">
        <v>-966000000000</v>
      </c>
      <c r="E35" s="1">
        <v>3404000000000</v>
      </c>
      <c r="F35" s="1">
        <v>-6269000000000</v>
      </c>
      <c r="G35" s="1">
        <v>-783000000000</v>
      </c>
    </row>
    <row r="36" spans="1:7" x14ac:dyDescent="0.35">
      <c r="A36" t="s">
        <v>184</v>
      </c>
      <c r="B36" t="s">
        <v>98</v>
      </c>
      <c r="C36" t="s">
        <v>10</v>
      </c>
      <c r="D36" s="1">
        <v>939000000000</v>
      </c>
      <c r="E36" s="1">
        <v>162000000000</v>
      </c>
      <c r="F36" s="1"/>
      <c r="G36" s="1"/>
    </row>
    <row r="37" spans="1:7" x14ac:dyDescent="0.35">
      <c r="A37" t="s">
        <v>184</v>
      </c>
      <c r="B37" t="s">
        <v>99</v>
      </c>
      <c r="C37" t="s">
        <v>10</v>
      </c>
      <c r="D37" s="1">
        <v>-810000000000</v>
      </c>
      <c r="E37" s="1">
        <v>-162000000000</v>
      </c>
      <c r="F37" s="1">
        <v>-35000000000</v>
      </c>
      <c r="G37" s="1">
        <v>-259000000000</v>
      </c>
    </row>
    <row r="38" spans="1:7" x14ac:dyDescent="0.35">
      <c r="A38" t="s">
        <v>184</v>
      </c>
      <c r="B38" t="s">
        <v>106</v>
      </c>
      <c r="C38" t="s">
        <v>10</v>
      </c>
      <c r="D38" s="1">
        <v>39147000000000</v>
      </c>
      <c r="E38" s="1">
        <v>43739000000000</v>
      </c>
      <c r="F38" s="1">
        <v>36430000000000</v>
      </c>
      <c r="G38" s="1">
        <v>40855000000000</v>
      </c>
    </row>
    <row r="39" spans="1:7" x14ac:dyDescent="0.35">
      <c r="A39" t="s">
        <v>184</v>
      </c>
      <c r="B39" t="s">
        <v>204</v>
      </c>
      <c r="C39" t="s">
        <v>10</v>
      </c>
      <c r="D39" s="1">
        <v>2344000000000</v>
      </c>
      <c r="E39" s="1">
        <v>474000000000</v>
      </c>
      <c r="F39" s="1">
        <v>567000000000</v>
      </c>
      <c r="G39" s="1">
        <v>513000000000</v>
      </c>
    </row>
    <row r="40" spans="1:7" x14ac:dyDescent="0.35">
      <c r="A40" t="s">
        <v>184</v>
      </c>
      <c r="B40" t="s">
        <v>111</v>
      </c>
      <c r="C40" t="s">
        <v>10</v>
      </c>
      <c r="D40" s="1">
        <v>39981000000000</v>
      </c>
      <c r="E40" s="1">
        <v>43314000000000</v>
      </c>
      <c r="F40" s="1">
        <v>43624000000000</v>
      </c>
      <c r="G40" s="1">
        <v>46081000000000</v>
      </c>
    </row>
    <row r="41" spans="1:7" x14ac:dyDescent="0.35">
      <c r="A41" t="s">
        <v>184</v>
      </c>
      <c r="B41" t="s">
        <v>112</v>
      </c>
      <c r="C41" t="s">
        <v>10</v>
      </c>
      <c r="D41" s="1">
        <v>28925000000000</v>
      </c>
      <c r="E41" s="1">
        <v>31714000000000</v>
      </c>
      <c r="F41" s="1">
        <v>33129000000000</v>
      </c>
      <c r="G41" s="1">
        <v>32569000000000</v>
      </c>
    </row>
    <row r="42" spans="1:7" x14ac:dyDescent="0.35">
      <c r="A42" t="s">
        <v>184</v>
      </c>
      <c r="B42" t="s">
        <v>163</v>
      </c>
      <c r="C42" t="s">
        <v>10</v>
      </c>
      <c r="D42" s="1">
        <v>3731000000000</v>
      </c>
      <c r="E42" s="1">
        <v>5308000000000</v>
      </c>
      <c r="F42" s="1">
        <v>3873000000000</v>
      </c>
      <c r="G42" s="1">
        <v>3770000000000</v>
      </c>
    </row>
    <row r="43" spans="1:7" x14ac:dyDescent="0.35">
      <c r="A43" t="s">
        <v>184</v>
      </c>
      <c r="B43" t="s">
        <v>114</v>
      </c>
      <c r="C43" t="s">
        <v>10</v>
      </c>
      <c r="D43" s="1">
        <v>52000000000</v>
      </c>
      <c r="E43" s="1">
        <v>82000000000</v>
      </c>
      <c r="F43" s="1">
        <v>108000000000</v>
      </c>
      <c r="G43" s="1"/>
    </row>
    <row r="44" spans="1:7" x14ac:dyDescent="0.35">
      <c r="A44" t="s">
        <v>184</v>
      </c>
      <c r="B44" t="s">
        <v>205</v>
      </c>
      <c r="C44" t="s">
        <v>10</v>
      </c>
      <c r="D44" s="1">
        <v>14921000000000</v>
      </c>
      <c r="E44" s="1">
        <v>16021000000000</v>
      </c>
      <c r="F44" s="1">
        <v>15496000000000</v>
      </c>
      <c r="G44" s="1">
        <v>16620000000000</v>
      </c>
    </row>
    <row r="45" spans="1:7" x14ac:dyDescent="0.35">
      <c r="A45" t="s">
        <v>184</v>
      </c>
      <c r="B45" t="s">
        <v>116</v>
      </c>
      <c r="C45" t="s">
        <v>10</v>
      </c>
      <c r="D45" s="1">
        <v>3482000000000</v>
      </c>
      <c r="E45" s="1">
        <v>3633000000000</v>
      </c>
      <c r="F45" s="1">
        <v>3929000000000</v>
      </c>
      <c r="G45" s="1">
        <v>3530000000000</v>
      </c>
    </row>
    <row r="46" spans="1:7" x14ac:dyDescent="0.35">
      <c r="A46" t="s">
        <v>184</v>
      </c>
      <c r="B46" t="s">
        <v>117</v>
      </c>
      <c r="C46" t="s">
        <v>10</v>
      </c>
      <c r="D46" s="1">
        <v>22040000000000</v>
      </c>
      <c r="E46" s="1">
        <v>23699000000000</v>
      </c>
      <c r="F46" s="1">
        <v>24123000000000</v>
      </c>
      <c r="G46" s="1">
        <v>25043000000000</v>
      </c>
    </row>
    <row r="47" spans="1:7" x14ac:dyDescent="0.35">
      <c r="A47" t="s">
        <v>184</v>
      </c>
      <c r="B47" t="s">
        <v>119</v>
      </c>
      <c r="C47" t="s">
        <v>10</v>
      </c>
      <c r="D47" s="1">
        <v>-763000000000</v>
      </c>
      <c r="E47" s="1">
        <v>0</v>
      </c>
      <c r="F47" s="1">
        <v>0</v>
      </c>
      <c r="G47" s="1"/>
    </row>
    <row r="48" spans="1:7" x14ac:dyDescent="0.35">
      <c r="A48" t="s">
        <v>184</v>
      </c>
      <c r="B48" t="s">
        <v>122</v>
      </c>
      <c r="C48" t="s">
        <v>10</v>
      </c>
      <c r="D48" s="1">
        <v>-1.7025672465323E+16</v>
      </c>
      <c r="E48" s="1">
        <v>7674267815907990</v>
      </c>
      <c r="F48" s="1">
        <v>-1.47804611583859E+16</v>
      </c>
      <c r="G48" s="1">
        <v>-1686209276710310</v>
      </c>
    </row>
    <row r="49" spans="1:7" x14ac:dyDescent="0.35">
      <c r="A49" t="s">
        <v>184</v>
      </c>
      <c r="B49" t="s">
        <v>123</v>
      </c>
      <c r="C49" t="s">
        <v>10</v>
      </c>
      <c r="D49" s="1">
        <v>9257000000000</v>
      </c>
      <c r="E49" s="1">
        <v>9640000000000</v>
      </c>
      <c r="F49" s="1">
        <v>8710000000000</v>
      </c>
      <c r="G49" s="1">
        <v>8787000000000</v>
      </c>
    </row>
    <row r="50" spans="1:7" x14ac:dyDescent="0.35">
      <c r="A50" t="s">
        <v>184</v>
      </c>
      <c r="B50" t="s">
        <v>124</v>
      </c>
      <c r="C50" t="s">
        <v>10</v>
      </c>
      <c r="D50" s="1">
        <v>0.23646800000000001</v>
      </c>
      <c r="E50" s="1">
        <v>0.22039800000000001</v>
      </c>
      <c r="F50" s="1">
        <v>0.239089</v>
      </c>
      <c r="G50" s="1">
        <v>0.21507799999999999</v>
      </c>
    </row>
    <row r="51" spans="1:7" x14ac:dyDescent="0.35">
      <c r="A51" t="s">
        <v>184</v>
      </c>
      <c r="B51" t="s">
        <v>130</v>
      </c>
      <c r="C51" t="s">
        <v>10</v>
      </c>
      <c r="D51" s="1">
        <v>92532000000000</v>
      </c>
      <c r="E51" s="1">
        <v>99039000000000</v>
      </c>
      <c r="F51" s="1">
        <v>101408000000000</v>
      </c>
      <c r="G51" s="1">
        <v>103947000000000</v>
      </c>
    </row>
    <row r="52" spans="1:7" x14ac:dyDescent="0.35">
      <c r="A52" t="s">
        <v>184</v>
      </c>
      <c r="B52" t="s">
        <v>178</v>
      </c>
      <c r="C52" t="s">
        <v>10</v>
      </c>
      <c r="D52" s="1">
        <v>43958000000000</v>
      </c>
      <c r="E52" s="1">
        <v>47653000000000</v>
      </c>
      <c r="F52" s="1">
        <v>39716000000000</v>
      </c>
      <c r="G52" s="1">
        <v>44485000000000</v>
      </c>
    </row>
    <row r="53" spans="1:7" x14ac:dyDescent="0.35">
      <c r="A53" t="s">
        <v>184</v>
      </c>
      <c r="B53" t="s">
        <v>134</v>
      </c>
      <c r="C53" t="s">
        <v>10</v>
      </c>
      <c r="D53" s="1">
        <v>136447000000000</v>
      </c>
      <c r="E53" s="1">
        <v>143210000000000</v>
      </c>
      <c r="F53" s="1">
        <v>147306000000000</v>
      </c>
      <c r="G53" s="1">
        <v>149216000000000</v>
      </c>
    </row>
    <row r="54" spans="1:7" x14ac:dyDescent="0.35">
      <c r="A54" t="s">
        <v>184</v>
      </c>
      <c r="B54" t="s">
        <v>136</v>
      </c>
      <c r="C54" t="s">
        <v>10</v>
      </c>
      <c r="D54" s="1">
        <v>-720000000000</v>
      </c>
      <c r="E54" s="1">
        <v>3482000000000</v>
      </c>
      <c r="F54" s="1">
        <v>-6182000000000</v>
      </c>
      <c r="G54" s="1">
        <v>-784000000000</v>
      </c>
    </row>
    <row r="55" spans="1:7" x14ac:dyDescent="0.35">
      <c r="A55" t="s">
        <v>184</v>
      </c>
      <c r="B55" t="s">
        <v>137</v>
      </c>
      <c r="C55" t="s">
        <v>10</v>
      </c>
      <c r="D55" s="1">
        <v>-720000000000</v>
      </c>
      <c r="E55" s="1">
        <v>3482000000000</v>
      </c>
      <c r="F55" s="1">
        <v>-6182000000000</v>
      </c>
      <c r="G55" s="1">
        <v>-784000000000</v>
      </c>
    </row>
    <row r="56" spans="1:7" x14ac:dyDescent="0.35">
      <c r="A56" t="s">
        <v>184</v>
      </c>
      <c r="B56" t="s">
        <v>139</v>
      </c>
      <c r="C56" t="s">
        <v>10</v>
      </c>
      <c r="D56" s="1">
        <v>763000000000</v>
      </c>
      <c r="E56" s="1">
        <v>0</v>
      </c>
      <c r="F56" s="1">
        <v>0</v>
      </c>
      <c r="G5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4D2E-A972-4460-8C3E-A5E6573975E1}">
  <dimension ref="A1:G95"/>
  <sheetViews>
    <sheetView workbookViewId="0">
      <selection activeCell="B80" sqref="B80"/>
    </sheetView>
  </sheetViews>
  <sheetFormatPr defaultRowHeight="14.5" x14ac:dyDescent="0.35"/>
  <cols>
    <col min="1" max="1" width="6.54296875" bestFit="1" customWidth="1"/>
    <col min="2" max="2" width="56.453125" bestFit="1" customWidth="1"/>
    <col min="3" max="3" width="4.26953125" customWidth="1"/>
    <col min="4" max="7" width="22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>
        <v>2020</v>
      </c>
      <c r="E1">
        <v>2021</v>
      </c>
      <c r="F1">
        <v>2022</v>
      </c>
      <c r="G1">
        <v>2023</v>
      </c>
    </row>
    <row r="2" spans="1:7" x14ac:dyDescent="0.35">
      <c r="A2" t="s">
        <v>184</v>
      </c>
      <c r="B2" t="s">
        <v>3</v>
      </c>
      <c r="C2" t="s">
        <v>4</v>
      </c>
      <c r="D2" s="1">
        <v>16999000000000</v>
      </c>
      <c r="E2" s="1">
        <v>17779000000000</v>
      </c>
      <c r="F2" s="1">
        <v>18457000000000</v>
      </c>
      <c r="G2" s="1">
        <v>18608000000000</v>
      </c>
    </row>
    <row r="3" spans="1:7" x14ac:dyDescent="0.35">
      <c r="A3" t="s">
        <v>184</v>
      </c>
      <c r="B3" t="s">
        <v>5</v>
      </c>
      <c r="C3" t="s">
        <v>4</v>
      </c>
      <c r="D3" s="1">
        <v>11339000000000</v>
      </c>
      <c r="E3" s="1">
        <v>8510000000000</v>
      </c>
      <c r="F3" s="1">
        <v>8634000000000</v>
      </c>
      <c r="G3" s="1">
        <v>10667000000000</v>
      </c>
    </row>
    <row r="4" spans="1:7" x14ac:dyDescent="0.35">
      <c r="A4" t="s">
        <v>184</v>
      </c>
      <c r="B4" t="s">
        <v>6</v>
      </c>
      <c r="C4" t="s">
        <v>4</v>
      </c>
      <c r="D4" s="1">
        <v>-166443000000000</v>
      </c>
      <c r="E4" s="1">
        <v>-175483000000000</v>
      </c>
      <c r="F4" s="1">
        <v>-189809000000000</v>
      </c>
      <c r="G4" s="1">
        <v>-198974000000000</v>
      </c>
    </row>
    <row r="5" spans="1:7" x14ac:dyDescent="0.35">
      <c r="A5" t="s">
        <v>184</v>
      </c>
      <c r="B5" t="s">
        <v>7</v>
      </c>
      <c r="C5" t="s">
        <v>4</v>
      </c>
      <c r="D5" s="1">
        <v>1977000000000</v>
      </c>
      <c r="E5" s="1">
        <v>1977000000000</v>
      </c>
      <c r="F5" s="1">
        <v>1977000000000</v>
      </c>
      <c r="G5" s="1">
        <v>1977000000000</v>
      </c>
    </row>
    <row r="6" spans="1:7" x14ac:dyDescent="0.35">
      <c r="A6" t="s">
        <v>184</v>
      </c>
      <c r="B6" t="s">
        <v>8</v>
      </c>
      <c r="C6" t="s">
        <v>4</v>
      </c>
      <c r="D6" s="1">
        <v>-8360000000000</v>
      </c>
      <c r="E6" s="1">
        <v>-7802000000000</v>
      </c>
      <c r="F6" s="1">
        <v>-7568000000000</v>
      </c>
      <c r="G6" s="1">
        <v>-7506000000000</v>
      </c>
    </row>
    <row r="7" spans="1:7" x14ac:dyDescent="0.35">
      <c r="A7" t="s">
        <v>184</v>
      </c>
      <c r="B7" t="s">
        <v>172</v>
      </c>
      <c r="C7" t="s">
        <v>4</v>
      </c>
      <c r="D7" s="1">
        <v>39000000000</v>
      </c>
      <c r="E7" s="1">
        <v>818000000000</v>
      </c>
      <c r="F7" s="1">
        <v>6000000000</v>
      </c>
      <c r="G7" s="1"/>
    </row>
    <row r="8" spans="1:7" x14ac:dyDescent="0.35">
      <c r="A8" t="s">
        <v>184</v>
      </c>
      <c r="B8" t="s">
        <v>140</v>
      </c>
      <c r="C8" t="s">
        <v>4</v>
      </c>
      <c r="D8" s="1"/>
      <c r="E8" s="1"/>
      <c r="F8" s="1">
        <v>22000000000</v>
      </c>
      <c r="G8" s="1">
        <v>25000000000</v>
      </c>
    </row>
    <row r="9" spans="1:7" x14ac:dyDescent="0.35">
      <c r="A9" t="s">
        <v>184</v>
      </c>
      <c r="B9" t="s">
        <v>14</v>
      </c>
      <c r="C9" t="s">
        <v>4</v>
      </c>
      <c r="D9" s="1">
        <v>17003000000000</v>
      </c>
      <c r="E9" s="1">
        <v>17926000000000</v>
      </c>
      <c r="F9" s="1">
        <v>19489000000000</v>
      </c>
      <c r="G9" s="1">
        <v>20058000000000</v>
      </c>
    </row>
    <row r="10" spans="1:7" x14ac:dyDescent="0.35">
      <c r="A10" t="s">
        <v>184</v>
      </c>
      <c r="B10" t="s">
        <v>141</v>
      </c>
      <c r="C10" t="s">
        <v>4</v>
      </c>
      <c r="D10" s="1">
        <v>14877000000000</v>
      </c>
      <c r="E10" s="1">
        <v>15888000000000</v>
      </c>
      <c r="F10" s="1">
        <v>18473000000000</v>
      </c>
      <c r="G10" s="1">
        <v>20302000000000</v>
      </c>
    </row>
    <row r="11" spans="1:7" x14ac:dyDescent="0.35">
      <c r="A11" t="s">
        <v>184</v>
      </c>
      <c r="B11" t="s">
        <v>16</v>
      </c>
      <c r="C11" t="s">
        <v>4</v>
      </c>
      <c r="D11" s="1">
        <v>4953000000000</v>
      </c>
      <c r="E11" s="1">
        <v>4953000000000</v>
      </c>
      <c r="F11" s="1">
        <v>4953000000000</v>
      </c>
      <c r="G11" s="1">
        <v>4953000000000</v>
      </c>
    </row>
    <row r="12" spans="1:7" x14ac:dyDescent="0.35">
      <c r="A12" t="s">
        <v>184</v>
      </c>
      <c r="B12" t="s">
        <v>17</v>
      </c>
      <c r="C12" t="s">
        <v>4</v>
      </c>
      <c r="D12" s="1">
        <v>20589000000000</v>
      </c>
      <c r="E12" s="1">
        <v>38311000000000</v>
      </c>
      <c r="F12" s="1">
        <v>31947000000000</v>
      </c>
      <c r="G12" s="1">
        <v>29007000000000</v>
      </c>
    </row>
    <row r="13" spans="1:7" x14ac:dyDescent="0.35">
      <c r="A13" t="s">
        <v>184</v>
      </c>
      <c r="B13" t="s">
        <v>18</v>
      </c>
      <c r="C13" t="s">
        <v>4</v>
      </c>
      <c r="D13" s="1">
        <v>21818000000000</v>
      </c>
      <c r="E13" s="1">
        <v>38740000000000</v>
      </c>
      <c r="F13" s="1">
        <v>32883000000000</v>
      </c>
      <c r="G13" s="1">
        <v>30430000000000</v>
      </c>
    </row>
    <row r="14" spans="1:7" x14ac:dyDescent="0.35">
      <c r="A14" t="s">
        <v>184</v>
      </c>
      <c r="B14" t="s">
        <v>20</v>
      </c>
      <c r="C14" t="s">
        <v>4</v>
      </c>
      <c r="D14" s="1">
        <v>14101000000000</v>
      </c>
      <c r="E14" s="1">
        <v>13989000000000</v>
      </c>
      <c r="F14" s="1">
        <v>10762000000000</v>
      </c>
      <c r="G14" s="1">
        <v>14374000000000</v>
      </c>
    </row>
    <row r="15" spans="1:7" x14ac:dyDescent="0.35">
      <c r="A15" t="s">
        <v>184</v>
      </c>
      <c r="B15" t="s">
        <v>21</v>
      </c>
      <c r="C15" t="s">
        <v>4</v>
      </c>
      <c r="D15" s="1">
        <v>6488000000000</v>
      </c>
      <c r="E15" s="1">
        <v>24322000000000</v>
      </c>
      <c r="F15" s="1">
        <v>21185000000000</v>
      </c>
      <c r="G15" s="1">
        <v>14633000000000</v>
      </c>
    </row>
    <row r="16" spans="1:7" x14ac:dyDescent="0.35">
      <c r="A16" t="s">
        <v>184</v>
      </c>
      <c r="B16" t="s">
        <v>26</v>
      </c>
      <c r="C16" t="s">
        <v>4</v>
      </c>
      <c r="D16" s="1">
        <v>4953000000000</v>
      </c>
      <c r="E16" s="1">
        <v>4953000000000</v>
      </c>
      <c r="F16" s="1">
        <v>4953000000000</v>
      </c>
      <c r="G16" s="1">
        <v>4953000000000</v>
      </c>
    </row>
    <row r="17" spans="1:7" x14ac:dyDescent="0.35">
      <c r="A17" t="s">
        <v>184</v>
      </c>
      <c r="B17" t="s">
        <v>28</v>
      </c>
      <c r="C17" t="s">
        <v>4</v>
      </c>
      <c r="D17" s="1">
        <v>102374000000000</v>
      </c>
      <c r="E17" s="1">
        <v>121631000000000</v>
      </c>
      <c r="F17" s="1">
        <v>129224000000000</v>
      </c>
      <c r="G17" s="1">
        <v>135576000000000</v>
      </c>
    </row>
    <row r="18" spans="1:7" x14ac:dyDescent="0.35">
      <c r="A18" t="s">
        <v>184</v>
      </c>
      <c r="B18" t="s">
        <v>29</v>
      </c>
      <c r="C18" t="s">
        <v>4</v>
      </c>
      <c r="D18" s="1">
        <v>2928000000000</v>
      </c>
      <c r="E18" s="1">
        <v>2950000000000</v>
      </c>
      <c r="F18" s="1">
        <v>4598000000000</v>
      </c>
      <c r="G18" s="1">
        <v>6240000000000</v>
      </c>
    </row>
    <row r="19" spans="1:7" x14ac:dyDescent="0.35">
      <c r="A19" t="s">
        <v>184</v>
      </c>
      <c r="B19" t="s">
        <v>187</v>
      </c>
      <c r="C19" t="s">
        <v>4</v>
      </c>
      <c r="D19" s="1">
        <v>14265000000000</v>
      </c>
      <c r="E19" s="1">
        <v>15885000000000</v>
      </c>
      <c r="F19" s="1">
        <v>15445000000000</v>
      </c>
      <c r="G19" s="1">
        <v>13079000000000</v>
      </c>
    </row>
    <row r="20" spans="1:7" x14ac:dyDescent="0.35">
      <c r="A20" t="s">
        <v>184</v>
      </c>
      <c r="B20" t="s">
        <v>31</v>
      </c>
      <c r="C20" t="s">
        <v>4</v>
      </c>
      <c r="D20" s="1">
        <v>46529000000000</v>
      </c>
      <c r="E20" s="1">
        <v>61288000000000</v>
      </c>
      <c r="F20" s="1">
        <v>55073000000000</v>
      </c>
      <c r="G20" s="1">
        <v>55628000000000</v>
      </c>
    </row>
    <row r="21" spans="1:7" x14ac:dyDescent="0.35">
      <c r="A21" t="s">
        <v>184</v>
      </c>
      <c r="B21" t="s">
        <v>143</v>
      </c>
      <c r="C21" t="s">
        <v>4</v>
      </c>
      <c r="D21" s="1">
        <v>4805000000000</v>
      </c>
      <c r="E21" s="1">
        <v>5525000000000</v>
      </c>
      <c r="F21" s="1">
        <v>4772000000000</v>
      </c>
      <c r="G21" s="1">
        <v>5458000000000</v>
      </c>
    </row>
    <row r="22" spans="1:7" x14ac:dyDescent="0.35">
      <c r="A22" t="s">
        <v>184</v>
      </c>
      <c r="B22" t="s">
        <v>32</v>
      </c>
      <c r="C22" t="s">
        <v>4</v>
      </c>
      <c r="D22" s="1">
        <v>19284000000000</v>
      </c>
      <c r="E22" s="1">
        <v>16372000000000</v>
      </c>
      <c r="F22" s="1">
        <v>17049000000000</v>
      </c>
      <c r="G22" s="1">
        <v>19926000000000</v>
      </c>
    </row>
    <row r="23" spans="1:7" x14ac:dyDescent="0.35">
      <c r="A23" t="s">
        <v>184</v>
      </c>
      <c r="B23" t="s">
        <v>33</v>
      </c>
      <c r="C23" t="s">
        <v>4</v>
      </c>
      <c r="D23" s="1">
        <v>24089000000000</v>
      </c>
      <c r="E23" s="1">
        <v>21897000000000</v>
      </c>
      <c r="F23" s="1">
        <v>21821000000000</v>
      </c>
      <c r="G23" s="1">
        <v>25384000000000</v>
      </c>
    </row>
    <row r="24" spans="1:7" x14ac:dyDescent="0.35">
      <c r="A24" t="s">
        <v>184</v>
      </c>
      <c r="B24" t="s">
        <v>179</v>
      </c>
      <c r="C24" t="s">
        <v>4</v>
      </c>
      <c r="D24" s="1">
        <v>454000000000</v>
      </c>
      <c r="E24" s="1">
        <v>656000000000</v>
      </c>
      <c r="F24" s="1">
        <v>671000000000</v>
      </c>
      <c r="G24" s="1">
        <v>653000000000</v>
      </c>
    </row>
    <row r="25" spans="1:7" x14ac:dyDescent="0.35">
      <c r="A25" t="s">
        <v>184</v>
      </c>
      <c r="B25" t="s">
        <v>188</v>
      </c>
      <c r="C25" t="s">
        <v>4</v>
      </c>
      <c r="D25" s="1">
        <v>9856000000000</v>
      </c>
      <c r="E25" s="1">
        <v>9211000000000</v>
      </c>
      <c r="F25" s="1">
        <v>8677000000000</v>
      </c>
      <c r="G25" s="1">
        <v>9414000000000</v>
      </c>
    </row>
    <row r="26" spans="1:7" x14ac:dyDescent="0.35">
      <c r="A26" t="s">
        <v>184</v>
      </c>
      <c r="B26" t="s">
        <v>189</v>
      </c>
      <c r="C26" t="s">
        <v>4</v>
      </c>
      <c r="D26" s="1">
        <v>9856000000000</v>
      </c>
      <c r="E26" s="1">
        <v>9211000000000</v>
      </c>
      <c r="F26" s="1">
        <v>8677000000000</v>
      </c>
      <c r="G26" s="1">
        <v>9414000000000</v>
      </c>
    </row>
    <row r="27" spans="1:7" x14ac:dyDescent="0.35">
      <c r="A27" t="s">
        <v>184</v>
      </c>
      <c r="B27" t="s">
        <v>34</v>
      </c>
      <c r="C27" t="s">
        <v>4</v>
      </c>
      <c r="D27" s="1">
        <v>68500000000000</v>
      </c>
      <c r="E27" s="1">
        <v>68695000000000</v>
      </c>
      <c r="F27" s="1">
        <v>70235000000000</v>
      </c>
      <c r="G27" s="1">
        <v>71451000000000</v>
      </c>
    </row>
    <row r="28" spans="1:7" x14ac:dyDescent="0.35">
      <c r="A28" t="s">
        <v>184</v>
      </c>
      <c r="B28" t="s">
        <v>192</v>
      </c>
      <c r="C28" t="s">
        <v>4</v>
      </c>
      <c r="D28" s="1">
        <v>14230000000000</v>
      </c>
      <c r="E28" s="1">
        <v>12769000000000</v>
      </c>
      <c r="F28" s="1">
        <v>11303000000000</v>
      </c>
      <c r="G28" s="1">
        <v>12567000000000</v>
      </c>
    </row>
    <row r="29" spans="1:7" x14ac:dyDescent="0.35">
      <c r="A29" t="s">
        <v>184</v>
      </c>
      <c r="B29" t="s">
        <v>180</v>
      </c>
      <c r="C29" t="s">
        <v>4</v>
      </c>
      <c r="D29" s="1"/>
      <c r="E29" s="1"/>
      <c r="F29" s="1">
        <v>8508000000000</v>
      </c>
      <c r="G29" s="1">
        <v>8028000000000</v>
      </c>
    </row>
    <row r="30" spans="1:7" x14ac:dyDescent="0.35">
      <c r="A30" t="s">
        <v>184</v>
      </c>
      <c r="B30" t="s">
        <v>44</v>
      </c>
      <c r="C30" t="s">
        <v>4</v>
      </c>
      <c r="D30" s="1">
        <v>237000000000</v>
      </c>
      <c r="E30" s="1">
        <v>148000000000</v>
      </c>
      <c r="F30" s="1">
        <v>321000000000</v>
      </c>
      <c r="G30" s="1">
        <v>791000000000</v>
      </c>
    </row>
    <row r="31" spans="1:7" x14ac:dyDescent="0.35">
      <c r="A31" t="s">
        <v>184</v>
      </c>
      <c r="B31" t="s">
        <v>193</v>
      </c>
      <c r="C31" t="s">
        <v>4</v>
      </c>
      <c r="D31" s="1">
        <v>236000000000</v>
      </c>
      <c r="E31" s="1">
        <v>263000000000</v>
      </c>
      <c r="F31" s="1">
        <v>564000000000</v>
      </c>
      <c r="G31" s="1">
        <v>500000000000</v>
      </c>
    </row>
    <row r="32" spans="1:7" x14ac:dyDescent="0.35">
      <c r="A32" t="s">
        <v>184</v>
      </c>
      <c r="B32" t="s">
        <v>47</v>
      </c>
      <c r="C32" t="s">
        <v>4</v>
      </c>
      <c r="D32" s="1">
        <v>1311000000000</v>
      </c>
      <c r="E32" s="1">
        <v>1098000000000</v>
      </c>
      <c r="F32" s="1">
        <v>1098000000000</v>
      </c>
      <c r="G32" s="1">
        <v>1087000000000</v>
      </c>
    </row>
    <row r="33" spans="1:7" x14ac:dyDescent="0.35">
      <c r="A33" t="s">
        <v>184</v>
      </c>
      <c r="B33" t="s">
        <v>48</v>
      </c>
      <c r="C33" t="s">
        <v>4</v>
      </c>
      <c r="D33" s="1">
        <v>13490000000000</v>
      </c>
      <c r="E33" s="1">
        <v>14416000000000</v>
      </c>
      <c r="F33" s="1">
        <v>15041000000000</v>
      </c>
      <c r="G33" s="1">
        <v>16852000000000</v>
      </c>
    </row>
    <row r="34" spans="1:7" x14ac:dyDescent="0.35">
      <c r="A34" t="s">
        <v>184</v>
      </c>
      <c r="B34" t="s">
        <v>49</v>
      </c>
      <c r="C34" t="s">
        <v>4</v>
      </c>
      <c r="D34" s="1">
        <v>19699000000000</v>
      </c>
      <c r="E34" s="1">
        <v>16312000000000</v>
      </c>
      <c r="F34" s="1">
        <v>16202000000000</v>
      </c>
      <c r="G34" s="1">
        <v>18173000000000</v>
      </c>
    </row>
    <row r="35" spans="1:7" x14ac:dyDescent="0.35">
      <c r="A35" t="s">
        <v>184</v>
      </c>
      <c r="B35" t="s">
        <v>50</v>
      </c>
      <c r="C35" t="s">
        <v>4</v>
      </c>
      <c r="D35" s="1">
        <v>339667000000000</v>
      </c>
      <c r="E35" s="1">
        <v>352603000000000</v>
      </c>
      <c r="F35" s="1">
        <v>377383000000000</v>
      </c>
      <c r="G35" s="1">
        <v>395664000000000</v>
      </c>
    </row>
    <row r="36" spans="1:7" x14ac:dyDescent="0.35">
      <c r="A36" t="s">
        <v>184</v>
      </c>
      <c r="B36" t="s">
        <v>194</v>
      </c>
      <c r="C36" t="s">
        <v>4</v>
      </c>
      <c r="D36" s="1">
        <v>1291000000000</v>
      </c>
      <c r="E36" s="1">
        <v>1609000000000</v>
      </c>
      <c r="F36" s="1">
        <v>3824000000000</v>
      </c>
      <c r="G36" s="1">
        <v>3164000000000</v>
      </c>
    </row>
    <row r="37" spans="1:7" x14ac:dyDescent="0.35">
      <c r="A37" t="s">
        <v>184</v>
      </c>
      <c r="B37" t="s">
        <v>195</v>
      </c>
      <c r="C37" t="s">
        <v>4</v>
      </c>
      <c r="D37" s="1">
        <v>156000000000</v>
      </c>
      <c r="E37" s="1">
        <v>144000000000</v>
      </c>
      <c r="F37" s="1">
        <v>181000000000</v>
      </c>
      <c r="G37" s="1">
        <v>243000000000</v>
      </c>
    </row>
    <row r="38" spans="1:7" x14ac:dyDescent="0.35">
      <c r="A38" t="s">
        <v>184</v>
      </c>
      <c r="B38" t="s">
        <v>146</v>
      </c>
      <c r="C38" t="s">
        <v>4</v>
      </c>
      <c r="D38" s="1"/>
      <c r="E38" s="1">
        <v>-69000000000</v>
      </c>
      <c r="F38" s="1">
        <v>-59000000000</v>
      </c>
      <c r="G38" s="1">
        <v>-54000000000</v>
      </c>
    </row>
    <row r="39" spans="1:7" x14ac:dyDescent="0.35">
      <c r="A39" t="s">
        <v>184</v>
      </c>
      <c r="B39" t="s">
        <v>57</v>
      </c>
      <c r="C39" t="s">
        <v>4</v>
      </c>
      <c r="D39" s="1">
        <v>983000000000</v>
      </c>
      <c r="E39" s="1">
        <v>779000000000</v>
      </c>
      <c r="F39" s="1">
        <v>1144000000000</v>
      </c>
      <c r="G39" s="1">
        <v>997000000000</v>
      </c>
    </row>
    <row r="40" spans="1:7" x14ac:dyDescent="0.35">
      <c r="A40" t="s">
        <v>184</v>
      </c>
      <c r="B40" t="s">
        <v>58</v>
      </c>
      <c r="C40" t="s">
        <v>4</v>
      </c>
      <c r="D40" s="1">
        <v>152219000000000</v>
      </c>
      <c r="E40" s="1">
        <v>174322000000000</v>
      </c>
      <c r="F40" s="1">
        <v>173604000000000</v>
      </c>
      <c r="G40" s="1">
        <v>183275000000000</v>
      </c>
    </row>
    <row r="41" spans="1:7" x14ac:dyDescent="0.35">
      <c r="A41" t="s">
        <v>184</v>
      </c>
      <c r="B41" t="s">
        <v>147</v>
      </c>
      <c r="C41" t="s">
        <v>4</v>
      </c>
      <c r="D41" s="1">
        <v>4045000000000</v>
      </c>
      <c r="E41" s="1">
        <v>13800000000000</v>
      </c>
      <c r="F41" s="1">
        <v>8530000000000</v>
      </c>
      <c r="G41" s="1">
        <v>8053000000000</v>
      </c>
    </row>
    <row r="42" spans="1:7" x14ac:dyDescent="0.35">
      <c r="A42" t="s">
        <v>184</v>
      </c>
      <c r="B42" t="s">
        <v>167</v>
      </c>
      <c r="C42" t="s">
        <v>4</v>
      </c>
      <c r="D42" s="1">
        <v>4237000000000</v>
      </c>
      <c r="E42" s="1">
        <v>13800000000000</v>
      </c>
      <c r="F42" s="1">
        <v>8653000000000</v>
      </c>
      <c r="G42" s="1">
        <v>8162000000000</v>
      </c>
    </row>
    <row r="43" spans="1:7" x14ac:dyDescent="0.35">
      <c r="A43" t="s">
        <v>184</v>
      </c>
      <c r="B43" t="s">
        <v>148</v>
      </c>
      <c r="C43" t="s">
        <v>4</v>
      </c>
      <c r="D43" s="1">
        <v>192000000000</v>
      </c>
      <c r="E43" s="1">
        <v>139000000000</v>
      </c>
      <c r="F43" s="1">
        <v>123000000000</v>
      </c>
      <c r="G43" s="1">
        <v>109000000000</v>
      </c>
    </row>
    <row r="44" spans="1:7" x14ac:dyDescent="0.35">
      <c r="A44" t="s">
        <v>184</v>
      </c>
      <c r="B44" t="s">
        <v>196</v>
      </c>
      <c r="C44" t="s">
        <v>4</v>
      </c>
      <c r="D44" s="1">
        <v>1410000000000</v>
      </c>
      <c r="E44" s="1">
        <v>1477000000000</v>
      </c>
      <c r="F44" s="1">
        <v>1571000000000</v>
      </c>
      <c r="G44" s="1">
        <v>1675000000000</v>
      </c>
    </row>
    <row r="45" spans="1:7" x14ac:dyDescent="0.35">
      <c r="A45" t="s">
        <v>184</v>
      </c>
      <c r="B45" t="s">
        <v>197</v>
      </c>
      <c r="C45" t="s">
        <v>4</v>
      </c>
      <c r="D45" s="1">
        <v>9934000000000</v>
      </c>
      <c r="E45" s="1">
        <v>6682000000000</v>
      </c>
      <c r="F45" s="1">
        <v>8191000000000</v>
      </c>
      <c r="G45" s="1">
        <v>9650000000000</v>
      </c>
    </row>
    <row r="46" spans="1:7" x14ac:dyDescent="0.35">
      <c r="A46" t="s">
        <v>184</v>
      </c>
      <c r="B46" t="s">
        <v>150</v>
      </c>
      <c r="C46" t="s">
        <v>4</v>
      </c>
      <c r="D46" s="1">
        <v>10072000000000</v>
      </c>
      <c r="E46" s="1">
        <v>10363000000000</v>
      </c>
      <c r="F46" s="1">
        <v>13701000000000</v>
      </c>
      <c r="G46" s="1">
        <v>14844000000000</v>
      </c>
    </row>
    <row r="47" spans="1:7" x14ac:dyDescent="0.35">
      <c r="A47" t="s">
        <v>184</v>
      </c>
      <c r="B47" t="s">
        <v>61</v>
      </c>
      <c r="C47" t="s">
        <v>4</v>
      </c>
      <c r="D47" s="1">
        <v>30561000000000</v>
      </c>
      <c r="E47" s="1">
        <v>36319000000000</v>
      </c>
      <c r="F47" s="1">
        <v>27331000000000</v>
      </c>
      <c r="G47" s="1">
        <v>27773000000000</v>
      </c>
    </row>
    <row r="48" spans="1:7" x14ac:dyDescent="0.35">
      <c r="A48" t="s">
        <v>184</v>
      </c>
      <c r="B48" t="s">
        <v>62</v>
      </c>
      <c r="C48" t="s">
        <v>4</v>
      </c>
      <c r="D48" s="1">
        <v>40633000000000</v>
      </c>
      <c r="E48" s="1">
        <v>46682000000000</v>
      </c>
      <c r="F48" s="1">
        <v>41032000000000</v>
      </c>
      <c r="G48" s="1">
        <v>42617000000000</v>
      </c>
    </row>
    <row r="49" spans="1:7" x14ac:dyDescent="0.35">
      <c r="A49" t="s">
        <v>184</v>
      </c>
      <c r="B49" t="s">
        <v>65</v>
      </c>
      <c r="C49" t="s">
        <v>4</v>
      </c>
      <c r="D49" s="1">
        <v>192000000000</v>
      </c>
      <c r="E49" s="1">
        <v>139000000000</v>
      </c>
      <c r="F49" s="1">
        <v>123000000000</v>
      </c>
      <c r="G49" s="1">
        <v>109000000000</v>
      </c>
    </row>
    <row r="50" spans="1:7" x14ac:dyDescent="0.35">
      <c r="A50" t="s">
        <v>184</v>
      </c>
      <c r="B50" t="s">
        <v>66</v>
      </c>
      <c r="C50" t="s">
        <v>4</v>
      </c>
      <c r="D50" s="1">
        <v>3281000000000</v>
      </c>
      <c r="E50" s="1">
        <v>3297000000000</v>
      </c>
      <c r="F50" s="1">
        <v>3750000000000</v>
      </c>
      <c r="G50" s="1">
        <v>3808000000000</v>
      </c>
    </row>
    <row r="51" spans="1:7" x14ac:dyDescent="0.35">
      <c r="A51" t="s">
        <v>184</v>
      </c>
      <c r="B51" t="s">
        <v>67</v>
      </c>
      <c r="C51" t="s">
        <v>4</v>
      </c>
      <c r="D51" s="1">
        <v>18140000000000</v>
      </c>
      <c r="E51" s="1">
        <v>23541000000000</v>
      </c>
      <c r="F51" s="1">
        <v>19851000000000</v>
      </c>
      <c r="G51" s="1">
        <v>20659000000000</v>
      </c>
    </row>
    <row r="52" spans="1:7" x14ac:dyDescent="0.35">
      <c r="A52" t="s">
        <v>184</v>
      </c>
      <c r="B52" t="s">
        <v>69</v>
      </c>
      <c r="C52" t="s">
        <v>4</v>
      </c>
      <c r="D52" s="1">
        <v>29256000000000</v>
      </c>
      <c r="E52" s="1">
        <v>14380000000000</v>
      </c>
      <c r="F52" s="1">
        <v>12433000000000</v>
      </c>
      <c r="G52" s="1">
        <v>18692000000000</v>
      </c>
    </row>
    <row r="53" spans="1:7" x14ac:dyDescent="0.35">
      <c r="A53" t="s">
        <v>184</v>
      </c>
      <c r="B53" t="s">
        <v>82</v>
      </c>
      <c r="C53" t="s">
        <v>4</v>
      </c>
      <c r="D53" s="1">
        <v>173224000000000</v>
      </c>
      <c r="E53" s="1">
        <v>177120000000000</v>
      </c>
      <c r="F53" s="1">
        <v>187574000000000</v>
      </c>
      <c r="G53" s="1">
        <v>196690000000000</v>
      </c>
    </row>
    <row r="54" spans="1:7" x14ac:dyDescent="0.35">
      <c r="A54" t="s">
        <v>184</v>
      </c>
      <c r="B54" t="s">
        <v>84</v>
      </c>
      <c r="C54" t="s">
        <v>4</v>
      </c>
      <c r="D54" s="1">
        <v>88884000000000</v>
      </c>
      <c r="E54" s="1">
        <v>107215000000000</v>
      </c>
      <c r="F54" s="1">
        <v>114183000000000</v>
      </c>
      <c r="G54" s="1">
        <v>118724000000000</v>
      </c>
    </row>
    <row r="55" spans="1:7" x14ac:dyDescent="0.35">
      <c r="A55" t="s">
        <v>184</v>
      </c>
      <c r="B55" t="s">
        <v>198</v>
      </c>
      <c r="C55" t="s">
        <v>4</v>
      </c>
      <c r="D55" s="1">
        <v>203000000000</v>
      </c>
      <c r="E55" s="1">
        <v>1367000000000</v>
      </c>
      <c r="F55" s="1">
        <v>387000000000</v>
      </c>
      <c r="G55" s="1">
        <v>665000000000</v>
      </c>
    </row>
    <row r="56" spans="1:7" x14ac:dyDescent="0.35">
      <c r="A56" t="s">
        <v>184</v>
      </c>
      <c r="B56" t="s">
        <v>173</v>
      </c>
      <c r="C56" t="s">
        <v>4</v>
      </c>
      <c r="D56" s="1">
        <v>4997000000000</v>
      </c>
      <c r="E56" s="1">
        <v>5432000000000</v>
      </c>
      <c r="F56" s="1">
        <v>6110000000000</v>
      </c>
      <c r="G56" s="1">
        <v>5788000000000</v>
      </c>
    </row>
    <row r="57" spans="1:7" x14ac:dyDescent="0.35">
      <c r="A57" t="s">
        <v>184</v>
      </c>
      <c r="B57" t="s">
        <v>199</v>
      </c>
      <c r="C57" t="s">
        <v>4</v>
      </c>
      <c r="D57" s="1">
        <v>1614000000000</v>
      </c>
      <c r="E57" s="1">
        <v>2141000000000</v>
      </c>
      <c r="F57" s="1">
        <v>2584000000000</v>
      </c>
      <c r="G57" s="1">
        <v>3432000000000</v>
      </c>
    </row>
    <row r="58" spans="1:7" x14ac:dyDescent="0.35">
      <c r="A58" t="s">
        <v>184</v>
      </c>
      <c r="B58" t="s">
        <v>155</v>
      </c>
      <c r="C58" t="s">
        <v>4</v>
      </c>
      <c r="D58" s="1">
        <v>1007000000000</v>
      </c>
      <c r="E58" s="1">
        <v>1283000000000</v>
      </c>
      <c r="F58" s="1">
        <v>1561000000000</v>
      </c>
      <c r="G58" s="1">
        <v>2591000000000</v>
      </c>
    </row>
    <row r="59" spans="1:7" x14ac:dyDescent="0.35">
      <c r="A59" t="s">
        <v>184</v>
      </c>
      <c r="B59" t="s">
        <v>85</v>
      </c>
      <c r="C59" t="s">
        <v>4</v>
      </c>
      <c r="D59" s="1">
        <v>3743000000000</v>
      </c>
      <c r="E59" s="1">
        <v>3824000000000</v>
      </c>
      <c r="F59" s="1">
        <v>4369000000000</v>
      </c>
      <c r="G59" s="1">
        <v>4220000000000</v>
      </c>
    </row>
    <row r="60" spans="1:7" x14ac:dyDescent="0.35">
      <c r="A60" t="s">
        <v>184</v>
      </c>
      <c r="B60" t="s">
        <v>86</v>
      </c>
      <c r="C60" t="s">
        <v>4</v>
      </c>
      <c r="D60" s="1">
        <v>607000000000</v>
      </c>
      <c r="E60" s="1">
        <v>858000000000</v>
      </c>
      <c r="F60" s="1">
        <v>1023000000000</v>
      </c>
      <c r="G60" s="1">
        <v>841000000000</v>
      </c>
    </row>
    <row r="61" spans="1:7" x14ac:dyDescent="0.35">
      <c r="A61" t="s">
        <v>184</v>
      </c>
      <c r="B61" t="s">
        <v>87</v>
      </c>
      <c r="C61" t="s">
        <v>4</v>
      </c>
      <c r="D61" s="1">
        <v>12976000000000</v>
      </c>
      <c r="E61" s="1">
        <v>11563000000000</v>
      </c>
      <c r="F61" s="1">
        <v>10272000000000</v>
      </c>
      <c r="G61" s="1">
        <v>11414000000000</v>
      </c>
    </row>
    <row r="62" spans="1:7" x14ac:dyDescent="0.35">
      <c r="A62" t="s">
        <v>184</v>
      </c>
      <c r="B62" t="s">
        <v>174</v>
      </c>
      <c r="C62" t="s">
        <v>4</v>
      </c>
      <c r="D62" s="1">
        <v>2835000000000</v>
      </c>
      <c r="E62" s="1">
        <v>2289000000000</v>
      </c>
      <c r="F62" s="1">
        <v>1639000000000</v>
      </c>
      <c r="G62" s="1">
        <v>2478000000000</v>
      </c>
    </row>
    <row r="63" spans="1:7" x14ac:dyDescent="0.35">
      <c r="A63" t="s">
        <v>184</v>
      </c>
      <c r="B63" t="s">
        <v>93</v>
      </c>
      <c r="C63" t="s">
        <v>4</v>
      </c>
      <c r="D63" s="1">
        <v>99062216600</v>
      </c>
      <c r="E63" s="1">
        <v>99062216600</v>
      </c>
      <c r="F63" s="1">
        <v>99062216600</v>
      </c>
      <c r="G63" s="1">
        <v>99062216600</v>
      </c>
    </row>
    <row r="64" spans="1:7" x14ac:dyDescent="0.35">
      <c r="A64" t="s">
        <v>184</v>
      </c>
      <c r="B64" t="s">
        <v>175</v>
      </c>
      <c r="C64" t="s">
        <v>4</v>
      </c>
      <c r="D64" s="1">
        <v>202000000000</v>
      </c>
      <c r="E64" s="1">
        <v>401000000000</v>
      </c>
      <c r="F64" s="1">
        <v>475000000000</v>
      </c>
      <c r="G64" s="1">
        <v>442000000000</v>
      </c>
    </row>
    <row r="65" spans="1:7" x14ac:dyDescent="0.35">
      <c r="A65" t="s">
        <v>184</v>
      </c>
      <c r="B65" t="s">
        <v>200</v>
      </c>
      <c r="C65" t="s">
        <v>4</v>
      </c>
      <c r="D65" s="1">
        <v>9350000000000</v>
      </c>
      <c r="E65" s="1">
        <v>9690000000000</v>
      </c>
      <c r="F65" s="1">
        <v>8858000000000</v>
      </c>
      <c r="G65" s="1">
        <v>10276000000000</v>
      </c>
    </row>
    <row r="66" spans="1:7" x14ac:dyDescent="0.35">
      <c r="A66" t="s">
        <v>184</v>
      </c>
      <c r="B66" t="s">
        <v>201</v>
      </c>
      <c r="C66" t="s">
        <v>4</v>
      </c>
      <c r="D66" s="1">
        <v>236000000000</v>
      </c>
      <c r="E66" s="1">
        <v>263000000000</v>
      </c>
      <c r="F66" s="1">
        <v>564000000000</v>
      </c>
      <c r="G66" s="1">
        <v>500000000000</v>
      </c>
    </row>
    <row r="67" spans="1:7" x14ac:dyDescent="0.35">
      <c r="A67" t="s">
        <v>184</v>
      </c>
      <c r="B67" t="s">
        <v>158</v>
      </c>
      <c r="C67" t="s">
        <v>4</v>
      </c>
      <c r="D67" s="1">
        <v>12179000000000</v>
      </c>
      <c r="E67" s="1">
        <v>13318000000000</v>
      </c>
      <c r="F67" s="1">
        <v>13943000000000</v>
      </c>
      <c r="G67" s="1">
        <v>15765000000000</v>
      </c>
    </row>
    <row r="68" spans="1:7" x14ac:dyDescent="0.35">
      <c r="A68" t="s">
        <v>184</v>
      </c>
      <c r="B68" t="s">
        <v>95</v>
      </c>
      <c r="C68" t="s">
        <v>4</v>
      </c>
      <c r="D68" s="1">
        <v>223000000000</v>
      </c>
      <c r="E68" s="1">
        <v>122000000000</v>
      </c>
      <c r="F68" s="1">
        <v>294000000000</v>
      </c>
      <c r="G68" s="1">
        <v>231000000000</v>
      </c>
    </row>
    <row r="69" spans="1:7" x14ac:dyDescent="0.35">
      <c r="A69" t="s">
        <v>184</v>
      </c>
      <c r="B69" t="s">
        <v>96</v>
      </c>
      <c r="C69" t="s">
        <v>4</v>
      </c>
      <c r="D69" s="1">
        <v>358000000000</v>
      </c>
      <c r="E69" s="1">
        <v>446000000000</v>
      </c>
      <c r="F69" s="1">
        <v>340000000000</v>
      </c>
      <c r="G69" s="1">
        <v>329000000000</v>
      </c>
    </row>
    <row r="70" spans="1:7" x14ac:dyDescent="0.35">
      <c r="A70" t="s">
        <v>184</v>
      </c>
      <c r="B70" t="s">
        <v>97</v>
      </c>
      <c r="C70" t="s">
        <v>4</v>
      </c>
      <c r="D70" s="1">
        <v>382000000000</v>
      </c>
      <c r="E70" s="1">
        <v>699000000000</v>
      </c>
      <c r="F70" s="1">
        <v>588000000000</v>
      </c>
      <c r="G70" s="1">
        <v>290000000000</v>
      </c>
    </row>
    <row r="71" spans="1:7" x14ac:dyDescent="0.35">
      <c r="A71" t="s">
        <v>184</v>
      </c>
      <c r="B71" t="s">
        <v>100</v>
      </c>
      <c r="C71" t="s">
        <v>4</v>
      </c>
      <c r="D71" s="1">
        <v>578000000000</v>
      </c>
      <c r="E71" s="1">
        <v>609000000000</v>
      </c>
      <c r="F71" s="1">
        <v>463000000000</v>
      </c>
      <c r="G71" s="1">
        <v>441000000000</v>
      </c>
    </row>
    <row r="72" spans="1:7" x14ac:dyDescent="0.35">
      <c r="A72" t="s">
        <v>184</v>
      </c>
      <c r="B72" t="s">
        <v>101</v>
      </c>
      <c r="C72" t="s">
        <v>4</v>
      </c>
      <c r="D72" s="1">
        <v>315045000000000</v>
      </c>
      <c r="E72" s="1">
        <v>326953000000000</v>
      </c>
      <c r="F72" s="1">
        <v>347975000000000</v>
      </c>
      <c r="G72" s="1">
        <v>363883000000000</v>
      </c>
    </row>
    <row r="73" spans="1:7" x14ac:dyDescent="0.35">
      <c r="A73" t="s">
        <v>184</v>
      </c>
      <c r="B73" t="s">
        <v>102</v>
      </c>
      <c r="C73" t="s">
        <v>4</v>
      </c>
      <c r="D73" s="1">
        <v>1251000000000</v>
      </c>
      <c r="E73" s="1">
        <v>2525000000000</v>
      </c>
      <c r="F73" s="1">
        <v>2718000000000</v>
      </c>
      <c r="G73" s="1">
        <v>2985000000000</v>
      </c>
    </row>
    <row r="74" spans="1:7" x14ac:dyDescent="0.35">
      <c r="A74" t="s">
        <v>184</v>
      </c>
      <c r="B74" t="s">
        <v>159</v>
      </c>
      <c r="C74" t="s">
        <v>4</v>
      </c>
      <c r="D74" s="1">
        <v>1229000000000</v>
      </c>
      <c r="E74" s="1">
        <v>429000000000</v>
      </c>
      <c r="F74" s="1">
        <v>936000000000</v>
      </c>
      <c r="G74" s="1">
        <v>1423000000000</v>
      </c>
    </row>
    <row r="75" spans="1:7" x14ac:dyDescent="0.35">
      <c r="A75" t="s">
        <v>184</v>
      </c>
      <c r="B75" t="s">
        <v>103</v>
      </c>
      <c r="C75" t="s">
        <v>4</v>
      </c>
      <c r="D75" s="1">
        <v>20290000000000</v>
      </c>
      <c r="E75" s="1">
        <v>21702000000000</v>
      </c>
      <c r="F75" s="1">
        <v>24292000000000</v>
      </c>
      <c r="G75" s="1">
        <v>23574000000000</v>
      </c>
    </row>
    <row r="76" spans="1:7" x14ac:dyDescent="0.35">
      <c r="A76" t="s">
        <v>184</v>
      </c>
      <c r="B76" t="s">
        <v>203</v>
      </c>
      <c r="C76" t="s">
        <v>4</v>
      </c>
      <c r="D76" s="1">
        <v>34555000000000</v>
      </c>
      <c r="E76" s="1">
        <v>37587000000000</v>
      </c>
      <c r="F76" s="1">
        <v>39737000000000</v>
      </c>
      <c r="G76" s="1">
        <v>36653000000000</v>
      </c>
    </row>
    <row r="77" spans="1:7" x14ac:dyDescent="0.35">
      <c r="A77" t="s">
        <v>184</v>
      </c>
      <c r="B77" t="s">
        <v>105</v>
      </c>
      <c r="C77" t="s">
        <v>4</v>
      </c>
      <c r="D77" s="1">
        <v>10369000000000</v>
      </c>
      <c r="E77" s="1">
        <v>8795000000000</v>
      </c>
      <c r="F77" s="1">
        <v>8135000000000</v>
      </c>
      <c r="G77" s="1">
        <v>9216000000000</v>
      </c>
    </row>
    <row r="78" spans="1:7" x14ac:dyDescent="0.35">
      <c r="A78" t="s">
        <v>184</v>
      </c>
      <c r="B78" t="s">
        <v>107</v>
      </c>
      <c r="C78" t="s">
        <v>4</v>
      </c>
      <c r="D78" s="1">
        <v>0</v>
      </c>
      <c r="E78" s="1">
        <v>0</v>
      </c>
      <c r="F78" s="1">
        <v>0</v>
      </c>
      <c r="G78" s="1">
        <v>0</v>
      </c>
    </row>
    <row r="79" spans="1:7" x14ac:dyDescent="0.35">
      <c r="A79" t="s">
        <v>184</v>
      </c>
      <c r="B79" t="s">
        <v>109</v>
      </c>
      <c r="C79" t="s">
        <v>4</v>
      </c>
      <c r="D79" s="1">
        <v>523000000000</v>
      </c>
      <c r="E79" s="1">
        <v>578000000000</v>
      </c>
      <c r="F79" s="1">
        <v>588000000000</v>
      </c>
      <c r="G79" s="1">
        <v>29000000000</v>
      </c>
    </row>
    <row r="80" spans="1:7" x14ac:dyDescent="0.35">
      <c r="A80" t="s">
        <v>184</v>
      </c>
      <c r="B80" t="s">
        <v>182</v>
      </c>
      <c r="C80" t="s">
        <v>4</v>
      </c>
      <c r="D80" s="1">
        <v>12590000000000</v>
      </c>
      <c r="E80" s="1">
        <v>11035000000000</v>
      </c>
      <c r="F80" s="1">
        <v>11352000000000</v>
      </c>
      <c r="G80" s="1">
        <v>13652000000000</v>
      </c>
    </row>
    <row r="81" spans="1:7" x14ac:dyDescent="0.35">
      <c r="A81" t="s">
        <v>184</v>
      </c>
      <c r="B81" t="s">
        <v>183</v>
      </c>
      <c r="C81" t="s">
        <v>4</v>
      </c>
      <c r="D81" s="1">
        <v>-227000000000</v>
      </c>
      <c r="E81" s="1"/>
      <c r="F81" s="1"/>
      <c r="G81" s="1"/>
    </row>
    <row r="82" spans="1:7" x14ac:dyDescent="0.35">
      <c r="A82" t="s">
        <v>184</v>
      </c>
      <c r="B82" t="s">
        <v>176</v>
      </c>
      <c r="C82" t="s">
        <v>4</v>
      </c>
      <c r="D82" s="1">
        <v>74000000000</v>
      </c>
      <c r="E82" s="1">
        <v>64000000000</v>
      </c>
      <c r="F82" s="1">
        <v>413000000000</v>
      </c>
      <c r="G82" s="1">
        <v>238000000000</v>
      </c>
    </row>
    <row r="83" spans="1:7" x14ac:dyDescent="0.35">
      <c r="A83" t="s">
        <v>184</v>
      </c>
      <c r="B83" t="s">
        <v>115</v>
      </c>
      <c r="C83" t="s">
        <v>4</v>
      </c>
      <c r="D83" s="1">
        <v>95208000000000</v>
      </c>
      <c r="E83" s="1">
        <v>114438000000000</v>
      </c>
      <c r="F83" s="1">
        <v>121730000000000</v>
      </c>
      <c r="G83" s="1">
        <v>128146000000000</v>
      </c>
    </row>
    <row r="84" spans="1:7" x14ac:dyDescent="0.35">
      <c r="A84" t="s">
        <v>184</v>
      </c>
      <c r="B84" t="s">
        <v>118</v>
      </c>
      <c r="C84" t="s">
        <v>4</v>
      </c>
      <c r="D84" s="1">
        <v>99062216600</v>
      </c>
      <c r="E84" s="1">
        <v>99062216600</v>
      </c>
      <c r="F84" s="1">
        <v>99062216600</v>
      </c>
      <c r="G84" s="1">
        <v>99062216600</v>
      </c>
    </row>
    <row r="85" spans="1:7" x14ac:dyDescent="0.35">
      <c r="A85" t="s">
        <v>184</v>
      </c>
      <c r="B85" t="s">
        <v>120</v>
      </c>
      <c r="C85" t="s">
        <v>4</v>
      </c>
      <c r="D85" s="1">
        <v>102374000000000</v>
      </c>
      <c r="E85" s="1">
        <v>121631000000000</v>
      </c>
      <c r="F85" s="1">
        <v>129224000000000</v>
      </c>
      <c r="G85" s="1">
        <v>135576000000000</v>
      </c>
    </row>
    <row r="86" spans="1:7" x14ac:dyDescent="0.35">
      <c r="A86" t="s">
        <v>184</v>
      </c>
      <c r="B86" t="s">
        <v>121</v>
      </c>
      <c r="C86" t="s">
        <v>4</v>
      </c>
      <c r="D86" s="1">
        <v>88884000000000</v>
      </c>
      <c r="E86" s="1">
        <v>107215000000000</v>
      </c>
      <c r="F86" s="1">
        <v>114183000000000</v>
      </c>
      <c r="G86" s="1">
        <v>118724000000000</v>
      </c>
    </row>
    <row r="87" spans="1:7" x14ac:dyDescent="0.35">
      <c r="A87" t="s">
        <v>184</v>
      </c>
      <c r="B87" t="s">
        <v>126</v>
      </c>
      <c r="C87" t="s">
        <v>4</v>
      </c>
      <c r="D87" s="1">
        <v>245873000000000</v>
      </c>
      <c r="E87" s="1">
        <v>276158000000000</v>
      </c>
      <c r="F87" s="1">
        <v>274817000000000</v>
      </c>
      <c r="G87" s="1">
        <v>286592000000000</v>
      </c>
    </row>
    <row r="88" spans="1:7" x14ac:dyDescent="0.35">
      <c r="A88" t="s">
        <v>184</v>
      </c>
      <c r="B88" t="s">
        <v>127</v>
      </c>
      <c r="C88" t="s">
        <v>4</v>
      </c>
      <c r="D88" s="1">
        <v>132935000000000</v>
      </c>
      <c r="E88" s="1">
        <v>157950000000000</v>
      </c>
      <c r="F88" s="1">
        <v>156555000000000</v>
      </c>
      <c r="G88" s="1">
        <v>163349000000000</v>
      </c>
    </row>
    <row r="89" spans="1:7" x14ac:dyDescent="0.35">
      <c r="A89" t="s">
        <v>184</v>
      </c>
      <c r="B89" t="s">
        <v>128</v>
      </c>
      <c r="C89" t="s">
        <v>4</v>
      </c>
      <c r="D89" s="1">
        <v>64722000000000</v>
      </c>
      <c r="E89" s="1">
        <v>68579000000000</v>
      </c>
      <c r="F89" s="1">
        <v>62853000000000</v>
      </c>
      <c r="G89" s="1">
        <v>68001000000000</v>
      </c>
    </row>
    <row r="90" spans="1:7" x14ac:dyDescent="0.35">
      <c r="A90" t="s">
        <v>184</v>
      </c>
      <c r="B90" t="s">
        <v>129</v>
      </c>
      <c r="C90" t="s">
        <v>4</v>
      </c>
      <c r="D90" s="1">
        <v>120514000000000</v>
      </c>
      <c r="E90" s="1">
        <v>145172000000000</v>
      </c>
      <c r="F90" s="1">
        <v>149075000000000</v>
      </c>
      <c r="G90" s="1">
        <v>156235000000000</v>
      </c>
    </row>
    <row r="91" spans="1:7" x14ac:dyDescent="0.35">
      <c r="A91" t="s">
        <v>184</v>
      </c>
      <c r="B91" t="s">
        <v>131</v>
      </c>
      <c r="C91" t="s">
        <v>4</v>
      </c>
      <c r="D91" s="1">
        <v>125359000000000</v>
      </c>
      <c r="E91" s="1">
        <v>130986000000000</v>
      </c>
      <c r="F91" s="1">
        <v>125742000000000</v>
      </c>
      <c r="G91" s="1">
        <v>130357000000000</v>
      </c>
    </row>
    <row r="92" spans="1:7" x14ac:dyDescent="0.35">
      <c r="A92" t="s">
        <v>184</v>
      </c>
      <c r="B92" t="s">
        <v>132</v>
      </c>
      <c r="C92" t="s">
        <v>4</v>
      </c>
      <c r="D92" s="1">
        <v>199344000000000</v>
      </c>
      <c r="E92" s="1">
        <v>214870000000000</v>
      </c>
      <c r="F92" s="1">
        <v>219744000000000</v>
      </c>
      <c r="G92" s="1">
        <v>230964000000000</v>
      </c>
    </row>
    <row r="93" spans="1:7" x14ac:dyDescent="0.35">
      <c r="A93" t="s">
        <v>184</v>
      </c>
      <c r="B93" t="s">
        <v>133</v>
      </c>
      <c r="C93" t="s">
        <v>4</v>
      </c>
      <c r="D93" s="1">
        <v>56859000000000</v>
      </c>
      <c r="E93" s="1">
        <v>62291000000000</v>
      </c>
      <c r="F93" s="1">
        <v>55507000000000</v>
      </c>
      <c r="G93" s="1">
        <v>58906000000000</v>
      </c>
    </row>
    <row r="94" spans="1:7" x14ac:dyDescent="0.35">
      <c r="A94" t="s">
        <v>184</v>
      </c>
      <c r="B94" t="s">
        <v>135</v>
      </c>
      <c r="C94" t="s">
        <v>4</v>
      </c>
      <c r="D94" s="1">
        <v>2713000000000</v>
      </c>
      <c r="E94" s="1">
        <v>3923000000000</v>
      </c>
      <c r="F94" s="1">
        <v>5372000000000</v>
      </c>
      <c r="G94" s="1">
        <v>4525000000000</v>
      </c>
    </row>
    <row r="95" spans="1:7" x14ac:dyDescent="0.35">
      <c r="A95" t="s">
        <v>184</v>
      </c>
      <c r="B95" t="s">
        <v>138</v>
      </c>
      <c r="C95" t="s">
        <v>4</v>
      </c>
      <c r="D95" s="1">
        <v>-21971000000000</v>
      </c>
      <c r="E95" s="1">
        <v>-7407000000000</v>
      </c>
      <c r="F95" s="1">
        <v>-15162000000000</v>
      </c>
      <c r="G95" s="1">
        <v>-15823000000000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56BC-E566-4B68-A960-5C63701ACEB2}">
  <dimension ref="A1:G51"/>
  <sheetViews>
    <sheetView workbookViewId="0">
      <selection activeCell="B7" sqref="B7"/>
    </sheetView>
  </sheetViews>
  <sheetFormatPr defaultRowHeight="14.5" x14ac:dyDescent="0.35"/>
  <cols>
    <col min="1" max="1" width="6.54296875" bestFit="1" customWidth="1"/>
    <col min="2" max="2" width="41.36328125" bestFit="1" customWidth="1"/>
    <col min="3" max="3" width="4.26953125" bestFit="1" customWidth="1"/>
    <col min="4" max="7" width="22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>
        <v>2020</v>
      </c>
      <c r="E1">
        <v>2021</v>
      </c>
      <c r="F1">
        <v>2022</v>
      </c>
      <c r="G1">
        <v>2023</v>
      </c>
    </row>
    <row r="2" spans="1:7" x14ac:dyDescent="0.35">
      <c r="A2" t="s">
        <v>184</v>
      </c>
      <c r="B2" t="s">
        <v>12</v>
      </c>
      <c r="C2" t="s">
        <v>13</v>
      </c>
      <c r="D2" s="1">
        <v>18241000000000</v>
      </c>
      <c r="E2" s="1">
        <v>20589000000000</v>
      </c>
      <c r="F2" s="1">
        <v>38311000000000</v>
      </c>
      <c r="G2" s="1">
        <v>31947000000000</v>
      </c>
    </row>
    <row r="3" spans="1:7" x14ac:dyDescent="0.35">
      <c r="A3" t="s">
        <v>184</v>
      </c>
      <c r="B3" t="s">
        <v>15</v>
      </c>
      <c r="C3" t="s">
        <v>13</v>
      </c>
      <c r="D3" s="1">
        <v>-31941000000000</v>
      </c>
      <c r="E3" s="1">
        <v>-32768000000000</v>
      </c>
      <c r="F3" s="1">
        <v>-38269000000000</v>
      </c>
      <c r="G3" s="1">
        <v>-36420000000000</v>
      </c>
    </row>
    <row r="4" spans="1:7" x14ac:dyDescent="0.35">
      <c r="A4" t="s">
        <v>184</v>
      </c>
      <c r="B4" t="s">
        <v>19</v>
      </c>
      <c r="C4" t="s">
        <v>13</v>
      </c>
      <c r="D4" s="1">
        <v>-15262000000000</v>
      </c>
      <c r="E4" s="1">
        <v>-16643000000000</v>
      </c>
      <c r="F4" s="1">
        <v>-14856000000000</v>
      </c>
      <c r="G4" s="1">
        <v>-16603000000000</v>
      </c>
    </row>
    <row r="5" spans="1:7" x14ac:dyDescent="0.35">
      <c r="A5" t="s">
        <v>184</v>
      </c>
      <c r="B5" t="s">
        <v>185</v>
      </c>
      <c r="C5" t="s">
        <v>13</v>
      </c>
      <c r="D5" s="1">
        <v>-27910000000000</v>
      </c>
      <c r="E5" s="1">
        <v>-12775000000000</v>
      </c>
      <c r="F5" s="1">
        <v>-40965000000000</v>
      </c>
      <c r="G5" s="1">
        <v>-26565000000000</v>
      </c>
    </row>
    <row r="6" spans="1:7" x14ac:dyDescent="0.35">
      <c r="A6" t="s">
        <v>184</v>
      </c>
      <c r="B6" t="s">
        <v>186</v>
      </c>
      <c r="C6" t="s">
        <v>13</v>
      </c>
      <c r="D6" s="1">
        <v>-35099000000000</v>
      </c>
      <c r="E6" s="1">
        <v>-37914000000000</v>
      </c>
      <c r="F6" s="1">
        <v>-39122000000000</v>
      </c>
      <c r="G6" s="1">
        <v>-36911000000000</v>
      </c>
    </row>
    <row r="7" spans="1:7" x14ac:dyDescent="0.35">
      <c r="A7" t="s">
        <v>184</v>
      </c>
      <c r="B7" t="s">
        <v>22</v>
      </c>
      <c r="C7" t="s">
        <v>13</v>
      </c>
      <c r="D7" s="1">
        <v>65317000000000</v>
      </c>
      <c r="E7" s="1">
        <v>68353000000000</v>
      </c>
      <c r="F7" s="1">
        <v>73354000000000</v>
      </c>
      <c r="G7" s="1">
        <v>60581000000000</v>
      </c>
    </row>
    <row r="8" spans="1:7" x14ac:dyDescent="0.35">
      <c r="A8" t="s">
        <v>184</v>
      </c>
      <c r="B8" t="s">
        <v>23</v>
      </c>
      <c r="C8" t="s">
        <v>13</v>
      </c>
      <c r="D8" s="1">
        <v>2308000000000</v>
      </c>
      <c r="E8" s="1">
        <v>17664000000000</v>
      </c>
      <c r="F8" s="1">
        <v>-6733000000000</v>
      </c>
      <c r="G8" s="1">
        <v>-2895000000000</v>
      </c>
    </row>
    <row r="9" spans="1:7" x14ac:dyDescent="0.35">
      <c r="A9" t="s">
        <v>184</v>
      </c>
      <c r="B9" t="s">
        <v>24</v>
      </c>
      <c r="C9" t="s">
        <v>13</v>
      </c>
      <c r="D9" s="1">
        <v>-69366000000000</v>
      </c>
      <c r="E9" s="1">
        <v>-75455000000000</v>
      </c>
      <c r="F9" s="1">
        <v>-72464000000000</v>
      </c>
      <c r="G9" s="1">
        <v>-85452000000000</v>
      </c>
    </row>
    <row r="10" spans="1:7" x14ac:dyDescent="0.35">
      <c r="A10" t="s">
        <v>184</v>
      </c>
      <c r="B10" t="s">
        <v>25</v>
      </c>
      <c r="C10" t="s">
        <v>13</v>
      </c>
      <c r="D10" s="1">
        <v>138645000000000</v>
      </c>
      <c r="E10" s="1">
        <v>147670000000000</v>
      </c>
      <c r="F10" s="1">
        <v>149017000000000</v>
      </c>
      <c r="G10" s="1">
        <v>149732000000000</v>
      </c>
    </row>
    <row r="11" spans="1:7" x14ac:dyDescent="0.35">
      <c r="A11" t="s">
        <v>184</v>
      </c>
      <c r="B11" t="s">
        <v>27</v>
      </c>
      <c r="C11" t="s">
        <v>13</v>
      </c>
      <c r="D11" s="1">
        <v>-15262000000000</v>
      </c>
      <c r="E11" s="1">
        <v>-16643000000000</v>
      </c>
      <c r="F11" s="1">
        <v>-14856000000000</v>
      </c>
      <c r="G11" s="1">
        <v>-16603000000000</v>
      </c>
    </row>
    <row r="12" spans="1:7" x14ac:dyDescent="0.35">
      <c r="A12" t="s">
        <v>184</v>
      </c>
      <c r="B12" t="s">
        <v>142</v>
      </c>
      <c r="C12" t="s">
        <v>13</v>
      </c>
      <c r="D12" s="1">
        <v>0</v>
      </c>
      <c r="E12" s="1">
        <v>18463000000000</v>
      </c>
      <c r="F12" s="1">
        <v>45000000000</v>
      </c>
      <c r="G12" s="1">
        <v>2961000000000</v>
      </c>
    </row>
    <row r="13" spans="1:7" x14ac:dyDescent="0.35">
      <c r="A13" t="s">
        <v>184</v>
      </c>
      <c r="B13" t="s">
        <v>144</v>
      </c>
      <c r="C13" t="s">
        <v>13</v>
      </c>
      <c r="D13" s="1">
        <v>5000000000</v>
      </c>
      <c r="E13" s="1">
        <v>0</v>
      </c>
      <c r="F13" s="1">
        <v>17000000000</v>
      </c>
      <c r="G13" s="1">
        <v>14000000000</v>
      </c>
    </row>
    <row r="14" spans="1:7" x14ac:dyDescent="0.35">
      <c r="A14" t="s">
        <v>184</v>
      </c>
      <c r="B14" t="s">
        <v>41</v>
      </c>
      <c r="C14" t="s">
        <v>13</v>
      </c>
      <c r="D14" s="1">
        <v>40000000000</v>
      </c>
      <c r="E14" s="1">
        <v>59000000000</v>
      </c>
      <c r="F14" s="1">
        <v>370000000000</v>
      </c>
      <c r="G14" s="1">
        <v>-44000000000</v>
      </c>
    </row>
    <row r="15" spans="1:7" x14ac:dyDescent="0.35">
      <c r="A15" t="s">
        <v>184</v>
      </c>
      <c r="B15" t="s">
        <v>42</v>
      </c>
      <c r="C15" t="s">
        <v>13</v>
      </c>
      <c r="D15" s="1">
        <v>20589000000000</v>
      </c>
      <c r="E15" s="1">
        <v>38311000000000</v>
      </c>
      <c r="F15" s="1">
        <v>31947000000000</v>
      </c>
      <c r="G15" s="1">
        <v>29007000000000</v>
      </c>
    </row>
    <row r="16" spans="1:7" x14ac:dyDescent="0.35">
      <c r="A16" t="s">
        <v>184</v>
      </c>
      <c r="B16" t="s">
        <v>43</v>
      </c>
      <c r="C16" t="s">
        <v>13</v>
      </c>
      <c r="D16" s="1">
        <v>-27910000000000</v>
      </c>
      <c r="E16" s="1">
        <v>-12775000000000</v>
      </c>
      <c r="F16" s="1">
        <v>-40965000000000</v>
      </c>
      <c r="G16" s="1">
        <v>-26565000000000</v>
      </c>
    </row>
    <row r="17" spans="1:7" x14ac:dyDescent="0.35">
      <c r="A17" t="s">
        <v>184</v>
      </c>
      <c r="B17" t="s">
        <v>45</v>
      </c>
      <c r="C17" t="s">
        <v>13</v>
      </c>
      <c r="D17" s="1">
        <v>33376000000000</v>
      </c>
      <c r="E17" s="1">
        <v>35585000000000</v>
      </c>
      <c r="F17" s="1">
        <v>35085000000000</v>
      </c>
      <c r="G17" s="1">
        <v>24161000000000</v>
      </c>
    </row>
    <row r="18" spans="1:7" x14ac:dyDescent="0.35">
      <c r="A18" t="s">
        <v>184</v>
      </c>
      <c r="B18" t="s">
        <v>145</v>
      </c>
      <c r="C18" t="s">
        <v>13</v>
      </c>
      <c r="D18" s="1">
        <v>-4768000000000</v>
      </c>
      <c r="E18" s="1">
        <v>-4426000000000</v>
      </c>
      <c r="F18" s="1">
        <v>-4064000000000</v>
      </c>
      <c r="G18" s="1">
        <v>-4748000000000</v>
      </c>
    </row>
    <row r="19" spans="1:7" x14ac:dyDescent="0.35">
      <c r="A19" t="s">
        <v>184</v>
      </c>
      <c r="B19" t="s">
        <v>56</v>
      </c>
      <c r="C19" t="s">
        <v>13</v>
      </c>
      <c r="D19" s="1">
        <v>806000000000</v>
      </c>
      <c r="E19" s="1">
        <v>564000000000</v>
      </c>
      <c r="F19" s="1">
        <v>865000000000</v>
      </c>
      <c r="G19" s="1">
        <v>1049000000000</v>
      </c>
    </row>
    <row r="20" spans="1:7" x14ac:dyDescent="0.35">
      <c r="A20" t="s">
        <v>184</v>
      </c>
      <c r="B20" t="s">
        <v>59</v>
      </c>
      <c r="C20" t="s">
        <v>13</v>
      </c>
      <c r="D20" s="1">
        <v>-35099000000000</v>
      </c>
      <c r="E20" s="1">
        <v>-37914000000000</v>
      </c>
      <c r="F20" s="1">
        <v>-39122000000000</v>
      </c>
      <c r="G20" s="1">
        <v>-36911000000000</v>
      </c>
    </row>
    <row r="21" spans="1:7" x14ac:dyDescent="0.35">
      <c r="A21" t="s">
        <v>184</v>
      </c>
      <c r="B21" t="s">
        <v>149</v>
      </c>
      <c r="C21" t="s">
        <v>13</v>
      </c>
      <c r="D21" s="1">
        <v>0</v>
      </c>
      <c r="E21" s="1">
        <v>18463000000000</v>
      </c>
      <c r="F21" s="1">
        <v>45000000000</v>
      </c>
      <c r="G21" s="1">
        <v>2961000000000</v>
      </c>
    </row>
    <row r="22" spans="1:7" x14ac:dyDescent="0.35">
      <c r="A22" t="s">
        <v>184</v>
      </c>
      <c r="B22" t="s">
        <v>60</v>
      </c>
      <c r="C22" t="s">
        <v>13</v>
      </c>
      <c r="D22" s="1">
        <v>24469000000000</v>
      </c>
      <c r="E22" s="1">
        <v>46612000000000</v>
      </c>
      <c r="F22" s="1">
        <v>35958000000000</v>
      </c>
      <c r="G22" s="1">
        <v>38834000000000</v>
      </c>
    </row>
    <row r="23" spans="1:7" x14ac:dyDescent="0.35">
      <c r="A23" t="s">
        <v>184</v>
      </c>
      <c r="B23" t="s">
        <v>63</v>
      </c>
      <c r="C23" t="s">
        <v>13</v>
      </c>
      <c r="D23" s="1">
        <v>24469000000000</v>
      </c>
      <c r="E23" s="1">
        <v>46612000000000</v>
      </c>
      <c r="F23" s="1">
        <v>35958000000000</v>
      </c>
      <c r="G23" s="1"/>
    </row>
    <row r="24" spans="1:7" x14ac:dyDescent="0.35">
      <c r="A24" t="s">
        <v>184</v>
      </c>
      <c r="B24" t="s">
        <v>64</v>
      </c>
      <c r="C24" t="s">
        <v>13</v>
      </c>
      <c r="D24" s="1">
        <v>-29339000000000</v>
      </c>
      <c r="E24" s="1">
        <v>-4225000000000</v>
      </c>
      <c r="F24" s="1">
        <v>-7024000000000</v>
      </c>
      <c r="G24" s="1">
        <v>-6600000000000</v>
      </c>
    </row>
    <row r="25" spans="1:7" x14ac:dyDescent="0.35">
      <c r="A25" t="s">
        <v>184</v>
      </c>
      <c r="B25" t="s">
        <v>151</v>
      </c>
      <c r="C25" t="s">
        <v>13</v>
      </c>
      <c r="D25" s="1">
        <v>-28000000000</v>
      </c>
      <c r="E25" s="1">
        <v>-42000000000</v>
      </c>
      <c r="F25" s="1"/>
      <c r="G25" s="1"/>
    </row>
    <row r="26" spans="1:7" x14ac:dyDescent="0.35">
      <c r="A26" t="s">
        <v>184</v>
      </c>
      <c r="B26" t="s">
        <v>152</v>
      </c>
      <c r="C26" t="s">
        <v>13</v>
      </c>
      <c r="D26" s="1">
        <v>0</v>
      </c>
      <c r="E26" s="1">
        <v>18463000000000</v>
      </c>
      <c r="F26" s="1">
        <v>45000000000</v>
      </c>
      <c r="G26" s="1">
        <v>2961000000000</v>
      </c>
    </row>
    <row r="27" spans="1:7" x14ac:dyDescent="0.35">
      <c r="A27" t="s">
        <v>184</v>
      </c>
      <c r="B27" t="s">
        <v>153</v>
      </c>
      <c r="C27" t="s">
        <v>13</v>
      </c>
      <c r="D27" s="1">
        <v>-2538000000000</v>
      </c>
      <c r="E27" s="1">
        <v>-2845000000000</v>
      </c>
      <c r="F27" s="1">
        <v>-3259000000000</v>
      </c>
      <c r="G27" s="1">
        <v>-2817000000000</v>
      </c>
    </row>
    <row r="28" spans="1:7" x14ac:dyDescent="0.35">
      <c r="A28" t="s">
        <v>184</v>
      </c>
      <c r="B28" t="s">
        <v>168</v>
      </c>
      <c r="C28" t="s">
        <v>13</v>
      </c>
      <c r="D28" s="1">
        <v>-3633000000000</v>
      </c>
      <c r="E28" s="1">
        <v>-5593000000000</v>
      </c>
      <c r="F28" s="1">
        <v>-2255000000000</v>
      </c>
      <c r="G28" s="1">
        <v>-655000000000</v>
      </c>
    </row>
    <row r="29" spans="1:7" x14ac:dyDescent="0.35">
      <c r="A29" t="s">
        <v>184</v>
      </c>
      <c r="B29" t="s">
        <v>77</v>
      </c>
      <c r="C29" t="s">
        <v>13</v>
      </c>
      <c r="D29" s="1">
        <v>-4870000000000</v>
      </c>
      <c r="E29" s="1">
        <v>-1353000000000</v>
      </c>
      <c r="F29" s="1">
        <v>-15370000000000</v>
      </c>
      <c r="G29" s="1">
        <v>-3089000000000</v>
      </c>
    </row>
    <row r="30" spans="1:7" x14ac:dyDescent="0.35">
      <c r="A30" t="s">
        <v>184</v>
      </c>
      <c r="B30" t="s">
        <v>78</v>
      </c>
      <c r="C30" t="s">
        <v>13</v>
      </c>
      <c r="D30" s="1">
        <v>-4870000000000</v>
      </c>
      <c r="E30" s="1">
        <v>-4225000000000</v>
      </c>
      <c r="F30" s="1">
        <v>-7024000000000</v>
      </c>
      <c r="G30" s="1">
        <v>-6600000000000</v>
      </c>
    </row>
    <row r="31" spans="1:7" x14ac:dyDescent="0.35">
      <c r="A31" t="s">
        <v>184</v>
      </c>
      <c r="B31" t="s">
        <v>80</v>
      </c>
      <c r="C31" t="s">
        <v>13</v>
      </c>
      <c r="D31" s="1">
        <v>-7778000000000</v>
      </c>
      <c r="E31" s="1">
        <v>-13242000000000</v>
      </c>
      <c r="F31" s="1">
        <v>-10784000000000</v>
      </c>
      <c r="G31" s="1">
        <v>-9834000000000</v>
      </c>
    </row>
    <row r="32" spans="1:7" x14ac:dyDescent="0.35">
      <c r="A32" t="s">
        <v>184</v>
      </c>
      <c r="B32" t="s">
        <v>81</v>
      </c>
      <c r="C32" t="s">
        <v>13</v>
      </c>
      <c r="D32" s="1">
        <v>234000000000</v>
      </c>
      <c r="E32" s="1">
        <v>-309000000000</v>
      </c>
      <c r="F32" s="1">
        <v>859000000000</v>
      </c>
      <c r="G32" s="1">
        <v>50000000000</v>
      </c>
    </row>
    <row r="33" spans="1:7" x14ac:dyDescent="0.35">
      <c r="A33" t="s">
        <v>184</v>
      </c>
      <c r="B33" t="s">
        <v>83</v>
      </c>
      <c r="C33" t="s">
        <v>13</v>
      </c>
      <c r="D33" s="1">
        <v>-29167000000000</v>
      </c>
      <c r="E33" s="1">
        <v>-29167000000000</v>
      </c>
      <c r="F33" s="1">
        <v>-34484000000000</v>
      </c>
      <c r="G33" s="1">
        <v>-33503000000000</v>
      </c>
    </row>
    <row r="34" spans="1:7" x14ac:dyDescent="0.35">
      <c r="A34" t="s">
        <v>184</v>
      </c>
      <c r="B34" t="s">
        <v>154</v>
      </c>
      <c r="C34" t="s">
        <v>13</v>
      </c>
      <c r="D34" s="1">
        <v>24469000000000</v>
      </c>
      <c r="E34" s="1">
        <v>2872000000000</v>
      </c>
      <c r="F34" s="1">
        <v>-8346000000000</v>
      </c>
      <c r="G34" s="1">
        <v>3511000000000</v>
      </c>
    </row>
    <row r="35" spans="1:7" x14ac:dyDescent="0.35">
      <c r="A35" t="s">
        <v>184</v>
      </c>
      <c r="B35" t="s">
        <v>156</v>
      </c>
      <c r="C35" t="s">
        <v>13</v>
      </c>
      <c r="D35" s="1">
        <v>0</v>
      </c>
      <c r="E35" s="1">
        <v>-1000000000</v>
      </c>
      <c r="F35" s="1">
        <v>-1000000000</v>
      </c>
      <c r="G35" s="1">
        <v>-1000000000</v>
      </c>
    </row>
    <row r="36" spans="1:7" x14ac:dyDescent="0.35">
      <c r="A36" t="s">
        <v>184</v>
      </c>
      <c r="B36" t="s">
        <v>94</v>
      </c>
      <c r="C36" t="s">
        <v>13</v>
      </c>
      <c r="D36" s="1">
        <v>-44264000000000</v>
      </c>
      <c r="E36" s="1">
        <v>-50430000000000</v>
      </c>
      <c r="F36" s="1">
        <v>-49432000000000</v>
      </c>
      <c r="G36" s="1">
        <v>-57180000000000</v>
      </c>
    </row>
    <row r="37" spans="1:7" x14ac:dyDescent="0.35">
      <c r="A37" t="s">
        <v>184</v>
      </c>
      <c r="B37" t="s">
        <v>157</v>
      </c>
      <c r="C37" t="s">
        <v>13</v>
      </c>
      <c r="D37" s="1">
        <v>348000000000</v>
      </c>
      <c r="E37" s="1">
        <v>-311000000000</v>
      </c>
      <c r="F37" s="1">
        <v>338000000000</v>
      </c>
      <c r="G37" s="1">
        <v>593000000000</v>
      </c>
    </row>
    <row r="38" spans="1:7" x14ac:dyDescent="0.35">
      <c r="A38" t="s">
        <v>184</v>
      </c>
      <c r="B38" t="s">
        <v>160</v>
      </c>
      <c r="C38" t="s">
        <v>13</v>
      </c>
      <c r="D38" s="1">
        <v>-11057000000000</v>
      </c>
      <c r="E38" s="1">
        <v>-13262000000000</v>
      </c>
      <c r="F38" s="1">
        <v>-14052000000000</v>
      </c>
      <c r="G38" s="1">
        <v>-16116000000000</v>
      </c>
    </row>
    <row r="39" spans="1:7" x14ac:dyDescent="0.35">
      <c r="A39" t="s">
        <v>184</v>
      </c>
      <c r="B39" t="s">
        <v>104</v>
      </c>
      <c r="C39" t="s">
        <v>13</v>
      </c>
      <c r="D39" s="1">
        <v>-3731000000000</v>
      </c>
      <c r="E39" s="1">
        <v>-5308000000000</v>
      </c>
      <c r="F39" s="1"/>
      <c r="G39" s="1"/>
    </row>
    <row r="40" spans="1:7" x14ac:dyDescent="0.35">
      <c r="A40" t="s">
        <v>184</v>
      </c>
      <c r="B40" t="s">
        <v>161</v>
      </c>
      <c r="C40" t="s">
        <v>13</v>
      </c>
      <c r="D40" s="1">
        <v>-28000000000</v>
      </c>
      <c r="E40" s="1">
        <v>-42000000000</v>
      </c>
      <c r="F40" s="1"/>
      <c r="G40" s="1"/>
    </row>
    <row r="41" spans="1:7" x14ac:dyDescent="0.35">
      <c r="A41" t="s">
        <v>184</v>
      </c>
      <c r="B41" t="s">
        <v>162</v>
      </c>
      <c r="C41" t="s">
        <v>13</v>
      </c>
      <c r="D41" s="1">
        <v>-2538000000000</v>
      </c>
      <c r="E41" s="1">
        <v>-2845000000000</v>
      </c>
      <c r="F41" s="1">
        <v>-3259000000000</v>
      </c>
      <c r="G41" s="1">
        <v>-2817000000000</v>
      </c>
    </row>
    <row r="42" spans="1:7" x14ac:dyDescent="0.35">
      <c r="A42" t="s">
        <v>184</v>
      </c>
      <c r="B42" t="s">
        <v>170</v>
      </c>
      <c r="C42" t="s">
        <v>13</v>
      </c>
      <c r="D42" s="1">
        <v>-3633000000000</v>
      </c>
      <c r="E42" s="1">
        <v>-6400000000000</v>
      </c>
      <c r="F42" s="1">
        <v>-2255000000000</v>
      </c>
      <c r="G42" s="1">
        <v>-655000000000</v>
      </c>
    </row>
    <row r="43" spans="1:7" x14ac:dyDescent="0.35">
      <c r="A43" t="s">
        <v>184</v>
      </c>
      <c r="B43" t="s">
        <v>108</v>
      </c>
      <c r="C43" t="s">
        <v>13</v>
      </c>
      <c r="D43" s="1">
        <v>-29403000000000</v>
      </c>
      <c r="E43" s="1">
        <v>-29923000000000</v>
      </c>
      <c r="F43" s="1">
        <v>-35010000000000</v>
      </c>
      <c r="G43" s="1">
        <v>-33603000000000</v>
      </c>
    </row>
    <row r="44" spans="1:7" x14ac:dyDescent="0.35">
      <c r="A44" t="s">
        <v>184</v>
      </c>
      <c r="B44" t="s">
        <v>110</v>
      </c>
      <c r="C44" t="s">
        <v>13</v>
      </c>
      <c r="D44" s="1">
        <v>133610000000000</v>
      </c>
      <c r="E44" s="1">
        <v>143902000000000</v>
      </c>
      <c r="F44" s="1">
        <v>146268000000000</v>
      </c>
      <c r="G44" s="1">
        <v>148458000000000</v>
      </c>
    </row>
    <row r="45" spans="1:7" x14ac:dyDescent="0.35">
      <c r="A45" t="s">
        <v>184</v>
      </c>
      <c r="B45" t="s">
        <v>113</v>
      </c>
      <c r="C45" t="s">
        <v>13</v>
      </c>
      <c r="D45" s="1">
        <v>-29339000000000</v>
      </c>
      <c r="E45" s="1">
        <v>-47965000000000</v>
      </c>
      <c r="F45" s="1">
        <v>-51328000000000</v>
      </c>
      <c r="G45" s="1">
        <v>-41923000000000</v>
      </c>
    </row>
    <row r="46" spans="1:7" x14ac:dyDescent="0.35">
      <c r="A46" t="s">
        <v>184</v>
      </c>
      <c r="B46" t="s">
        <v>177</v>
      </c>
      <c r="C46" t="s">
        <v>13</v>
      </c>
      <c r="D46" s="1">
        <v>0</v>
      </c>
      <c r="E46" s="1">
        <v>0</v>
      </c>
      <c r="F46" s="1"/>
      <c r="G46" s="1"/>
    </row>
    <row r="47" spans="1:7" x14ac:dyDescent="0.35">
      <c r="A47" t="s">
        <v>184</v>
      </c>
      <c r="B47" t="s">
        <v>171</v>
      </c>
      <c r="C47" t="s">
        <v>13</v>
      </c>
      <c r="D47" s="1"/>
      <c r="E47" s="1">
        <v>807000000000</v>
      </c>
      <c r="F47" s="1"/>
      <c r="G47" s="1"/>
    </row>
    <row r="48" spans="1:7" x14ac:dyDescent="0.35">
      <c r="A48" t="s">
        <v>184</v>
      </c>
      <c r="B48" t="s">
        <v>164</v>
      </c>
      <c r="C48" t="s">
        <v>13</v>
      </c>
      <c r="D48" s="1">
        <v>236000000000</v>
      </c>
      <c r="E48" s="1">
        <v>756000000000</v>
      </c>
      <c r="F48" s="1">
        <v>526000000000</v>
      </c>
      <c r="G48" s="1">
        <v>100000000000</v>
      </c>
    </row>
    <row r="49" spans="1:7" x14ac:dyDescent="0.35">
      <c r="A49" t="s">
        <v>184</v>
      </c>
      <c r="B49" t="s">
        <v>165</v>
      </c>
      <c r="C49" t="s">
        <v>13</v>
      </c>
      <c r="D49" s="1">
        <v>24469000000000</v>
      </c>
      <c r="E49" s="1">
        <v>46612000000000</v>
      </c>
      <c r="F49" s="1">
        <v>35958000000000</v>
      </c>
      <c r="G49" s="1">
        <v>38834000000000</v>
      </c>
    </row>
    <row r="50" spans="1:7" x14ac:dyDescent="0.35">
      <c r="A50" t="s">
        <v>184</v>
      </c>
      <c r="B50" t="s">
        <v>166</v>
      </c>
      <c r="C50" t="s">
        <v>13</v>
      </c>
      <c r="D50" s="1"/>
      <c r="E50" s="1">
        <v>-43740000000000</v>
      </c>
      <c r="F50" s="1">
        <v>-44304000000000</v>
      </c>
      <c r="G50" s="1">
        <v>-35323000000000</v>
      </c>
    </row>
    <row r="51" spans="1:7" x14ac:dyDescent="0.35">
      <c r="A51" t="s">
        <v>184</v>
      </c>
      <c r="B51" t="s">
        <v>125</v>
      </c>
      <c r="C51" t="s">
        <v>13</v>
      </c>
      <c r="D51" s="1">
        <v>-9358000000000</v>
      </c>
      <c r="E51" s="1">
        <v>-7995000000000</v>
      </c>
      <c r="F51" s="1">
        <v>-6569000000000</v>
      </c>
      <c r="G51" s="1">
        <v>-11475000000000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CB7B-F6F0-4E6F-A0D2-99FC4CE968E1}">
  <dimension ref="A1:I15"/>
  <sheetViews>
    <sheetView workbookViewId="0">
      <selection activeCell="H2" sqref="H2"/>
    </sheetView>
  </sheetViews>
  <sheetFormatPr defaultRowHeight="14.5" x14ac:dyDescent="0.35"/>
  <cols>
    <col min="1" max="1" width="19.08984375" bestFit="1" customWidth="1"/>
    <col min="2" max="5" width="22.08984375" bestFit="1" customWidth="1"/>
    <col min="6" max="8" width="12.453125" bestFit="1" customWidth="1"/>
    <col min="9" max="9" width="18.54296875" customWidth="1"/>
  </cols>
  <sheetData>
    <row r="1" spans="1:9" x14ac:dyDescent="0.35">
      <c r="A1" t="s">
        <v>1</v>
      </c>
      <c r="B1">
        <v>2020</v>
      </c>
      <c r="C1">
        <v>2021</v>
      </c>
      <c r="D1">
        <v>2022</v>
      </c>
      <c r="E1">
        <v>2023</v>
      </c>
      <c r="F1" t="s">
        <v>206</v>
      </c>
      <c r="G1" t="s">
        <v>207</v>
      </c>
      <c r="H1" t="s">
        <v>208</v>
      </c>
      <c r="I1" t="s">
        <v>209</v>
      </c>
    </row>
    <row r="2" spans="1:9" x14ac:dyDescent="0.35">
      <c r="A2" t="s">
        <v>134</v>
      </c>
      <c r="B2" s="1">
        <v>136447000000000</v>
      </c>
      <c r="C2" s="1">
        <v>143210000000000</v>
      </c>
      <c r="D2" s="1">
        <v>147306000000000</v>
      </c>
      <c r="E2" s="1">
        <v>149216000000000</v>
      </c>
      <c r="F2" s="2">
        <f>(C2-B2)/B2</f>
        <v>4.9565032576751412E-2</v>
      </c>
      <c r="G2" s="2">
        <f t="shared" ref="G2:H10" si="0">(D2-C2)/C2</f>
        <v>2.860135465400461E-2</v>
      </c>
      <c r="H2" s="2">
        <f>(E2-D2)/D2</f>
        <v>1.2966206400282405E-2</v>
      </c>
      <c r="I2" t="s">
        <v>210</v>
      </c>
    </row>
    <row r="3" spans="1:9" x14ac:dyDescent="0.35">
      <c r="A3" t="s">
        <v>30</v>
      </c>
      <c r="B3" s="1">
        <v>39981000000000</v>
      </c>
      <c r="C3" s="1">
        <v>43314000000000</v>
      </c>
      <c r="D3" s="1">
        <v>43624000000000</v>
      </c>
      <c r="E3" s="1">
        <v>46081000000000</v>
      </c>
      <c r="F3" s="2">
        <f t="shared" ref="F3:F10" si="1">(C3-B3)/B3</f>
        <v>8.3364598184137467E-2</v>
      </c>
      <c r="G3" s="2">
        <f t="shared" si="0"/>
        <v>7.1570392944544491E-3</v>
      </c>
      <c r="H3" s="2">
        <f t="shared" si="0"/>
        <v>5.6322207958921691E-2</v>
      </c>
      <c r="I3" t="s">
        <v>211</v>
      </c>
    </row>
    <row r="4" spans="1:9" x14ac:dyDescent="0.35">
      <c r="A4" t="s">
        <v>51</v>
      </c>
      <c r="B4" s="1">
        <v>96466000000000</v>
      </c>
      <c r="C4" s="1">
        <v>99896000000000</v>
      </c>
      <c r="D4" s="1">
        <v>103682000000000</v>
      </c>
      <c r="E4" s="1">
        <v>103135000000000</v>
      </c>
      <c r="F4" s="2">
        <f t="shared" si="1"/>
        <v>3.5556569153898786E-2</v>
      </c>
      <c r="G4" s="2">
        <f t="shared" si="0"/>
        <v>3.7899415392007689E-2</v>
      </c>
      <c r="H4" s="2">
        <f>(E4-D4)/D4</f>
        <v>-5.2757469956212265E-3</v>
      </c>
      <c r="I4" t="s">
        <v>212</v>
      </c>
    </row>
    <row r="5" spans="1:9" x14ac:dyDescent="0.35">
      <c r="A5" t="s">
        <v>90</v>
      </c>
      <c r="B5" s="1">
        <v>52551000000000</v>
      </c>
      <c r="C5" s="1">
        <v>55725000000000</v>
      </c>
      <c r="D5" s="1">
        <v>57784000000000</v>
      </c>
      <c r="E5" s="1">
        <v>57866000000000</v>
      </c>
      <c r="F5" s="2">
        <f t="shared" si="1"/>
        <v>6.0398470057658277E-2</v>
      </c>
      <c r="G5" s="2">
        <f t="shared" si="0"/>
        <v>3.6949304620906238E-2</v>
      </c>
      <c r="H5" s="2">
        <f t="shared" si="0"/>
        <v>1.4190779454520282E-3</v>
      </c>
      <c r="I5" t="s">
        <v>212</v>
      </c>
    </row>
    <row r="6" spans="1:9" x14ac:dyDescent="0.35">
      <c r="A6" t="s">
        <v>39</v>
      </c>
      <c r="B6" s="1">
        <v>43749000000000</v>
      </c>
      <c r="C6" s="1">
        <v>48133000000000</v>
      </c>
      <c r="D6" s="1">
        <v>40507000000000</v>
      </c>
      <c r="E6" s="1">
        <v>45547000000000</v>
      </c>
      <c r="F6" s="2">
        <f t="shared" si="1"/>
        <v>0.10020800475439438</v>
      </c>
      <c r="G6" s="2">
        <f t="shared" si="0"/>
        <v>-0.15843600024930921</v>
      </c>
      <c r="H6" s="2">
        <f t="shared" si="0"/>
        <v>0.12442293924506875</v>
      </c>
      <c r="I6" t="s">
        <v>211</v>
      </c>
    </row>
    <row r="7" spans="1:9" x14ac:dyDescent="0.35">
      <c r="A7" t="s">
        <v>169</v>
      </c>
      <c r="B7" s="1">
        <v>-966000000000</v>
      </c>
      <c r="C7" s="1">
        <v>3404000000000</v>
      </c>
      <c r="D7" s="1">
        <v>-6269000000000</v>
      </c>
      <c r="E7" s="1">
        <v>-783000000000</v>
      </c>
      <c r="F7" s="2">
        <f t="shared" si="1"/>
        <v>-4.5238095238095237</v>
      </c>
      <c r="G7" s="2">
        <f t="shared" si="0"/>
        <v>-2.8416568742655701</v>
      </c>
      <c r="H7" s="2">
        <f t="shared" si="0"/>
        <v>-0.87509969692135903</v>
      </c>
      <c r="I7" t="s">
        <v>211</v>
      </c>
    </row>
    <row r="8" spans="1:9" x14ac:dyDescent="0.35">
      <c r="A8" t="s">
        <v>106</v>
      </c>
      <c r="B8" s="1">
        <v>39147000000000</v>
      </c>
      <c r="C8" s="1">
        <v>43739000000000</v>
      </c>
      <c r="D8" s="1">
        <v>36430000000000</v>
      </c>
      <c r="E8" s="1">
        <v>40855000000000</v>
      </c>
      <c r="F8" s="2">
        <f t="shared" si="1"/>
        <v>0.11730145349579789</v>
      </c>
      <c r="G8" s="2">
        <f t="shared" si="0"/>
        <v>-0.16710487208212352</v>
      </c>
      <c r="H8" s="2">
        <f t="shared" si="0"/>
        <v>0.12146582486961295</v>
      </c>
      <c r="I8" t="s">
        <v>211</v>
      </c>
    </row>
    <row r="9" spans="1:9" x14ac:dyDescent="0.35">
      <c r="A9" t="s">
        <v>123</v>
      </c>
      <c r="B9" s="1">
        <v>9257000000000</v>
      </c>
      <c r="C9" s="1">
        <v>9640000000000</v>
      </c>
      <c r="D9" s="1">
        <v>8710000000000</v>
      </c>
      <c r="E9" s="1">
        <v>8787000000000</v>
      </c>
      <c r="F9" s="2">
        <f t="shared" si="1"/>
        <v>4.1374095279248138E-2</v>
      </c>
      <c r="G9" s="2">
        <f t="shared" si="0"/>
        <v>-9.6473029045643158E-2</v>
      </c>
      <c r="H9" s="2">
        <f t="shared" si="0"/>
        <v>8.840413318025259E-3</v>
      </c>
      <c r="I9" t="s">
        <v>211</v>
      </c>
    </row>
    <row r="10" spans="1:9" x14ac:dyDescent="0.35">
      <c r="A10" t="s">
        <v>70</v>
      </c>
      <c r="B10" s="1">
        <v>21052000000000</v>
      </c>
      <c r="C10" s="1">
        <v>24877000000000</v>
      </c>
      <c r="D10" s="1">
        <v>20736000000000</v>
      </c>
      <c r="E10" s="1">
        <v>24427000000000</v>
      </c>
      <c r="F10" s="2">
        <f t="shared" si="1"/>
        <v>0.18169295078852365</v>
      </c>
      <c r="G10" s="2">
        <f t="shared" si="0"/>
        <v>-0.16645897817260924</v>
      </c>
      <c r="H10" s="2">
        <f t="shared" si="0"/>
        <v>0.17799961419753085</v>
      </c>
      <c r="I10" t="s">
        <v>211</v>
      </c>
    </row>
    <row r="13" spans="1:9" x14ac:dyDescent="0.35">
      <c r="G13" s="3"/>
    </row>
    <row r="15" spans="1:9" x14ac:dyDescent="0.35">
      <c r="G15" s="3"/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E3EF-8D24-468F-9A93-08C371A565B7}">
  <dimension ref="A1:E29"/>
  <sheetViews>
    <sheetView workbookViewId="0">
      <selection activeCell="B1" sqref="B1:E1"/>
    </sheetView>
  </sheetViews>
  <sheetFormatPr defaultRowHeight="14.5" x14ac:dyDescent="0.35"/>
  <cols>
    <col min="1" max="1" width="30.08984375" bestFit="1" customWidth="1"/>
    <col min="2" max="5" width="22.08984375" bestFit="1" customWidth="1"/>
  </cols>
  <sheetData>
    <row r="1" spans="1:5" x14ac:dyDescent="0.35">
      <c r="A1" t="s">
        <v>1</v>
      </c>
      <c r="B1">
        <v>2020</v>
      </c>
      <c r="C1">
        <v>2021</v>
      </c>
      <c r="D1">
        <v>2022</v>
      </c>
      <c r="E1">
        <v>2023</v>
      </c>
    </row>
    <row r="2" spans="1:5" x14ac:dyDescent="0.35">
      <c r="A2" t="s">
        <v>134</v>
      </c>
      <c r="B2" s="1">
        <v>136447000000000</v>
      </c>
      <c r="C2" s="1">
        <v>143210000000000</v>
      </c>
      <c r="D2" s="1">
        <v>147306000000000</v>
      </c>
      <c r="E2" s="1">
        <v>149216000000000</v>
      </c>
    </row>
    <row r="3" spans="1:5" x14ac:dyDescent="0.35">
      <c r="A3" t="s">
        <v>30</v>
      </c>
      <c r="B3" s="1">
        <v>39981000000000</v>
      </c>
      <c r="C3" s="1">
        <v>43314000000000</v>
      </c>
      <c r="D3" s="1">
        <v>43624000000000</v>
      </c>
      <c r="E3" s="1">
        <v>46081000000000</v>
      </c>
    </row>
    <row r="4" spans="1:5" x14ac:dyDescent="0.35">
      <c r="A4" t="s">
        <v>51</v>
      </c>
      <c r="B4" s="1">
        <v>96466000000000</v>
      </c>
      <c r="C4" s="1">
        <v>99896000000000</v>
      </c>
      <c r="D4" s="1">
        <v>103682000000000</v>
      </c>
      <c r="E4" s="1">
        <v>103135000000000</v>
      </c>
    </row>
    <row r="5" spans="1:5" x14ac:dyDescent="0.35">
      <c r="A5" t="s">
        <v>90</v>
      </c>
      <c r="B5" s="1">
        <v>52551000000000</v>
      </c>
      <c r="C5" s="1">
        <v>55725000000000</v>
      </c>
      <c r="D5" s="1">
        <v>57784000000000</v>
      </c>
      <c r="E5" s="1">
        <v>57866000000000</v>
      </c>
    </row>
    <row r="6" spans="1:5" x14ac:dyDescent="0.35">
      <c r="A6" t="s">
        <v>39</v>
      </c>
      <c r="B6" s="1">
        <v>43749000000000</v>
      </c>
      <c r="C6" s="1">
        <v>48133000000000</v>
      </c>
      <c r="D6" s="1">
        <v>40507000000000</v>
      </c>
      <c r="E6" s="1">
        <v>45547000000000</v>
      </c>
    </row>
    <row r="7" spans="1:5" x14ac:dyDescent="0.35">
      <c r="A7" t="s">
        <v>169</v>
      </c>
      <c r="B7" s="1">
        <v>-966000000000</v>
      </c>
      <c r="C7" s="1">
        <v>3404000000000</v>
      </c>
      <c r="D7" s="1">
        <v>-6269000000000</v>
      </c>
      <c r="E7" s="1">
        <v>-783000000000</v>
      </c>
    </row>
    <row r="8" spans="1:5" x14ac:dyDescent="0.35">
      <c r="A8" t="s">
        <v>106</v>
      </c>
      <c r="B8" s="1">
        <v>39147000000000</v>
      </c>
      <c r="C8" s="1">
        <v>43739000000000</v>
      </c>
      <c r="D8" s="1">
        <v>36430000000000</v>
      </c>
      <c r="E8" s="1">
        <v>40855000000000</v>
      </c>
    </row>
    <row r="9" spans="1:5" x14ac:dyDescent="0.35">
      <c r="A9" t="s">
        <v>123</v>
      </c>
      <c r="B9" s="1">
        <v>9257000000000</v>
      </c>
      <c r="C9" s="1">
        <v>9640000000000</v>
      </c>
      <c r="D9" s="1">
        <v>8710000000000</v>
      </c>
      <c r="E9" s="1">
        <v>8787000000000</v>
      </c>
    </row>
    <row r="10" spans="1:5" x14ac:dyDescent="0.35">
      <c r="A10" t="s">
        <v>70</v>
      </c>
      <c r="B10" s="1">
        <v>21052000000000</v>
      </c>
      <c r="C10" s="1">
        <v>24877000000000</v>
      </c>
      <c r="D10" s="1">
        <v>20736000000000</v>
      </c>
      <c r="E10" s="1">
        <v>24427000000000</v>
      </c>
    </row>
    <row r="12" spans="1:5" x14ac:dyDescent="0.35">
      <c r="A12" t="s">
        <v>213</v>
      </c>
      <c r="B12" s="5">
        <f>B4/B2</f>
        <v>0.70698512975734162</v>
      </c>
      <c r="C12" s="5">
        <f>C4/C2</f>
        <v>0.69754905383702259</v>
      </c>
      <c r="D12" s="5">
        <f>D4/D2</f>
        <v>0.70385456125344525</v>
      </c>
      <c r="E12" s="5">
        <f>E4/E2</f>
        <v>0.69117923010937166</v>
      </c>
    </row>
    <row r="13" spans="1:5" x14ac:dyDescent="0.35">
      <c r="A13" t="s">
        <v>214</v>
      </c>
      <c r="B13" s="4">
        <f>B6/B2</f>
        <v>0.32062998820054672</v>
      </c>
      <c r="C13" s="4">
        <v>0.33610083094755955</v>
      </c>
      <c r="D13" s="4">
        <v>0.27498540453206249</v>
      </c>
      <c r="E13" s="4">
        <v>0.30524206519408109</v>
      </c>
    </row>
    <row r="14" spans="1:5" x14ac:dyDescent="0.35">
      <c r="A14" t="s">
        <v>215</v>
      </c>
      <c r="B14" s="4">
        <f>B8/B2</f>
        <v>0.28690260687299829</v>
      </c>
      <c r="C14" s="4">
        <v>0.30541861601843445</v>
      </c>
      <c r="D14" s="4">
        <v>0.24730832416873719</v>
      </c>
      <c r="E14" s="4">
        <v>0.27379771606262066</v>
      </c>
    </row>
    <row r="15" spans="1:5" x14ac:dyDescent="0.35">
      <c r="A15" t="s">
        <v>216</v>
      </c>
      <c r="B15" s="5">
        <f>B10/B2</f>
        <v>0.15428701253966742</v>
      </c>
      <c r="C15" s="5">
        <f t="shared" ref="C15:E15" si="0">C10/C2</f>
        <v>0.17370993645695132</v>
      </c>
      <c r="D15" s="5">
        <f t="shared" si="0"/>
        <v>0.14076819681479369</v>
      </c>
      <c r="E15" s="5">
        <f t="shared" si="0"/>
        <v>0.16370228393737937</v>
      </c>
    </row>
    <row r="16" spans="1:5" x14ac:dyDescent="0.35">
      <c r="A16" t="s">
        <v>217</v>
      </c>
      <c r="B16" s="5">
        <f>B9/B8</f>
        <v>0.2364676731294863</v>
      </c>
      <c r="C16" s="5">
        <f>C9/C8</f>
        <v>0.22039827156542216</v>
      </c>
      <c r="D16" s="5">
        <f>D9/D8</f>
        <v>0.23908866318967884</v>
      </c>
      <c r="E16" s="5">
        <f>E9/E8</f>
        <v>0.21507771386611185</v>
      </c>
    </row>
    <row r="18" spans="1:5" x14ac:dyDescent="0.35">
      <c r="A18" t="s">
        <v>31</v>
      </c>
      <c r="B18" s="1">
        <v>46529000000000</v>
      </c>
      <c r="C18" s="1">
        <v>61288000000000</v>
      </c>
      <c r="D18" s="1">
        <v>55073000000000</v>
      </c>
      <c r="E18" s="1">
        <v>55628000000000</v>
      </c>
    </row>
    <row r="19" spans="1:5" x14ac:dyDescent="0.35">
      <c r="A19" t="s">
        <v>34</v>
      </c>
      <c r="B19" s="1">
        <v>68500000000000</v>
      </c>
      <c r="C19" s="1">
        <v>68695000000000</v>
      </c>
      <c r="D19" s="1">
        <v>70235000000000</v>
      </c>
      <c r="E19" s="1">
        <v>71451000000000</v>
      </c>
    </row>
    <row r="20" spans="1:5" x14ac:dyDescent="0.35">
      <c r="A20" t="s">
        <v>126</v>
      </c>
      <c r="B20" s="1">
        <v>245873000000000</v>
      </c>
      <c r="C20" s="1">
        <v>276158000000000</v>
      </c>
      <c r="D20" s="1">
        <v>274817000000000</v>
      </c>
      <c r="E20" s="1">
        <v>286592000000000</v>
      </c>
    </row>
    <row r="21" spans="1:5" x14ac:dyDescent="0.35">
      <c r="A21" t="s">
        <v>129</v>
      </c>
      <c r="B21" s="1">
        <v>120514000000000</v>
      </c>
      <c r="C21" s="1">
        <v>145172000000000</v>
      </c>
      <c r="D21" s="1">
        <v>149075000000000</v>
      </c>
      <c r="E21" s="1">
        <v>156235000000000</v>
      </c>
    </row>
    <row r="22" spans="1:5" x14ac:dyDescent="0.35">
      <c r="A22" t="s">
        <v>131</v>
      </c>
      <c r="B22" s="1">
        <v>125359000000000</v>
      </c>
      <c r="C22" s="1">
        <v>130986000000000</v>
      </c>
      <c r="D22" s="1">
        <v>125742000000000</v>
      </c>
      <c r="E22" s="1">
        <v>130357000000000</v>
      </c>
    </row>
    <row r="23" spans="1:5" x14ac:dyDescent="0.35">
      <c r="A23" t="s">
        <v>222</v>
      </c>
      <c r="B23" s="1">
        <f>B20-B19</f>
        <v>177373000000000</v>
      </c>
      <c r="C23" s="1">
        <f t="shared" ref="C23:E23" si="1">C20-C19</f>
        <v>207463000000000</v>
      </c>
      <c r="D23" s="1">
        <f t="shared" si="1"/>
        <v>204582000000000</v>
      </c>
      <c r="E23" s="1">
        <f t="shared" si="1"/>
        <v>215141000000000</v>
      </c>
    </row>
    <row r="25" spans="1:5" x14ac:dyDescent="0.35">
      <c r="A25" t="s">
        <v>220</v>
      </c>
      <c r="B25" s="5">
        <f>B10/B20</f>
        <v>8.5621438710228454E-2</v>
      </c>
      <c r="C25" s="5">
        <f>C10/C20</f>
        <v>9.0082489009914612E-2</v>
      </c>
      <c r="D25" s="5">
        <f>D10/D20</f>
        <v>7.5453847469406921E-2</v>
      </c>
      <c r="E25" s="5">
        <f>E10/E20</f>
        <v>8.5232665252344797E-2</v>
      </c>
    </row>
    <row r="26" spans="1:5" x14ac:dyDescent="0.35">
      <c r="A26" t="s">
        <v>221</v>
      </c>
      <c r="B26" s="5">
        <f>B10/B21</f>
        <v>0.17468509882669234</v>
      </c>
      <c r="C26" s="5">
        <f>C10/C21</f>
        <v>0.17136224616317197</v>
      </c>
      <c r="D26" s="5">
        <f>D10/D21</f>
        <v>0.13909776957907094</v>
      </c>
      <c r="E26" s="5">
        <f>E10/E21</f>
        <v>0.15634780938970141</v>
      </c>
    </row>
    <row r="27" spans="1:5" x14ac:dyDescent="0.35">
      <c r="A27" t="s">
        <v>223</v>
      </c>
      <c r="B27" s="5">
        <f>B6/B23</f>
        <v>0.24664971557114104</v>
      </c>
      <c r="C27" s="5">
        <f>C6/C23</f>
        <v>0.23200763509637864</v>
      </c>
      <c r="D27" s="5">
        <f>D6/D23</f>
        <v>0.19799884642832702</v>
      </c>
      <c r="E27" s="5">
        <f>E6/E23</f>
        <v>0.21170767078334674</v>
      </c>
    </row>
    <row r="28" spans="1:5" x14ac:dyDescent="0.35">
      <c r="A28" t="s">
        <v>218</v>
      </c>
      <c r="B28" s="5">
        <f>B22/B21</f>
        <v>1.0402027980151685</v>
      </c>
      <c r="C28" s="5">
        <f t="shared" ref="C28:E28" si="2">C22/C21</f>
        <v>0.90228143168104047</v>
      </c>
      <c r="D28" s="5">
        <f t="shared" si="2"/>
        <v>0.84348146905919841</v>
      </c>
      <c r="E28" s="5">
        <f t="shared" si="2"/>
        <v>0.83436489903030686</v>
      </c>
    </row>
    <row r="29" spans="1:5" x14ac:dyDescent="0.35">
      <c r="A29" t="s">
        <v>219</v>
      </c>
      <c r="B29" s="5">
        <f>B22/B20</f>
        <v>0.5098526475050128</v>
      </c>
      <c r="C29" s="5">
        <f t="shared" ref="C29:E29" si="3">C22/C20</f>
        <v>0.47431542812447947</v>
      </c>
      <c r="D29" s="5">
        <f t="shared" si="3"/>
        <v>0.4575481138357525</v>
      </c>
      <c r="E29" s="5">
        <f t="shared" si="3"/>
        <v>0.45485219405984817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B9A3-D966-4469-B687-B43308F30602}">
  <dimension ref="A1:E15"/>
  <sheetViews>
    <sheetView tabSelected="1" workbookViewId="0">
      <selection activeCell="C20" sqref="C20"/>
    </sheetView>
  </sheetViews>
  <sheetFormatPr defaultRowHeight="14.5" x14ac:dyDescent="0.35"/>
  <cols>
    <col min="1" max="1" width="29.7265625" bestFit="1" customWidth="1"/>
    <col min="2" max="5" width="15.6328125" customWidth="1"/>
    <col min="6" max="6" width="8.7265625" customWidth="1"/>
  </cols>
  <sheetData>
    <row r="1" spans="1:5" x14ac:dyDescent="0.35">
      <c r="A1" s="7" t="s">
        <v>224</v>
      </c>
      <c r="B1">
        <v>2020</v>
      </c>
      <c r="C1">
        <v>2021</v>
      </c>
      <c r="D1">
        <v>2022</v>
      </c>
      <c r="E1">
        <v>2023</v>
      </c>
    </row>
    <row r="2" spans="1:5" x14ac:dyDescent="0.35">
      <c r="A2" s="6" t="s">
        <v>225</v>
      </c>
      <c r="B2" s="6"/>
      <c r="C2" s="6"/>
      <c r="D2" s="6"/>
      <c r="E2" s="6"/>
    </row>
    <row r="3" spans="1:5" x14ac:dyDescent="0.35">
      <c r="A3" t="s">
        <v>213</v>
      </c>
      <c r="B3" s="5">
        <v>0.70698512975734162</v>
      </c>
      <c r="C3" s="5">
        <v>0.69754905383702259</v>
      </c>
      <c r="D3" s="5">
        <v>0.70385456125344525</v>
      </c>
      <c r="E3" s="5">
        <v>0.69117923010937166</v>
      </c>
    </row>
    <row r="4" spans="1:5" x14ac:dyDescent="0.35">
      <c r="A4" t="s">
        <v>214</v>
      </c>
      <c r="B4" s="5">
        <v>0.32062998820054672</v>
      </c>
      <c r="C4" s="5">
        <v>0.33610083094755955</v>
      </c>
      <c r="D4" s="5">
        <v>0.27498540453206249</v>
      </c>
      <c r="E4" s="5">
        <v>0.30524206519408109</v>
      </c>
    </row>
    <row r="5" spans="1:5" x14ac:dyDescent="0.35">
      <c r="A5" t="s">
        <v>215</v>
      </c>
      <c r="B5" s="4">
        <v>0.28690260687299829</v>
      </c>
      <c r="C5" s="4">
        <v>0.30541861601843445</v>
      </c>
      <c r="D5" s="4">
        <v>0.24730832416873719</v>
      </c>
      <c r="E5" s="4">
        <v>0.27379771606262066</v>
      </c>
    </row>
    <row r="6" spans="1:5" x14ac:dyDescent="0.35">
      <c r="A6" t="s">
        <v>216</v>
      </c>
      <c r="B6" s="5">
        <v>0.15428701253966742</v>
      </c>
      <c r="C6" s="5">
        <v>0.17370993645695132</v>
      </c>
      <c r="D6" s="5">
        <v>0.14076819681479369</v>
      </c>
      <c r="E6" s="5">
        <v>0.16370228393737937</v>
      </c>
    </row>
    <row r="7" spans="1:5" x14ac:dyDescent="0.35">
      <c r="A7" s="6" t="s">
        <v>226</v>
      </c>
      <c r="B7" s="6"/>
      <c r="C7" s="6"/>
      <c r="D7" s="6"/>
      <c r="E7" s="6"/>
    </row>
    <row r="8" spans="1:5" x14ac:dyDescent="0.35">
      <c r="A8" t="s">
        <v>220</v>
      </c>
      <c r="B8" s="5">
        <v>8.5621438710228454E-2</v>
      </c>
      <c r="C8" s="5">
        <v>9.0082489009914612E-2</v>
      </c>
      <c r="D8" s="5">
        <v>7.5453847469406921E-2</v>
      </c>
      <c r="E8" s="5">
        <v>8.5232665252344797E-2</v>
      </c>
    </row>
    <row r="9" spans="1:5" x14ac:dyDescent="0.35">
      <c r="A9" t="s">
        <v>221</v>
      </c>
      <c r="B9" s="5">
        <v>0.17468509882669234</v>
      </c>
      <c r="C9" s="5">
        <v>0.17136224616317197</v>
      </c>
      <c r="D9" s="5">
        <v>0.13909776957907094</v>
      </c>
      <c r="E9" s="5">
        <v>0.15634780938970141</v>
      </c>
    </row>
    <row r="10" spans="1:5" x14ac:dyDescent="0.35">
      <c r="A10" t="s">
        <v>223</v>
      </c>
      <c r="B10" s="5">
        <v>0.24664971557114104</v>
      </c>
      <c r="C10" s="5">
        <v>0.23200763509637864</v>
      </c>
      <c r="D10" s="5">
        <v>0.19799884642832702</v>
      </c>
      <c r="E10" s="5">
        <v>0.21170767078334674</v>
      </c>
    </row>
    <row r="12" spans="1:5" x14ac:dyDescent="0.35">
      <c r="A12" s="7" t="s">
        <v>227</v>
      </c>
      <c r="B12">
        <v>2020</v>
      </c>
      <c r="C12">
        <v>2021</v>
      </c>
      <c r="D12">
        <v>2022</v>
      </c>
      <c r="E12">
        <v>2023</v>
      </c>
    </row>
    <row r="13" spans="1:5" x14ac:dyDescent="0.35">
      <c r="A13" s="6" t="s">
        <v>228</v>
      </c>
      <c r="B13" s="6"/>
      <c r="C13" s="6"/>
      <c r="D13" s="6"/>
      <c r="E13" s="6"/>
    </row>
    <row r="14" spans="1:5" x14ac:dyDescent="0.35">
      <c r="A14" t="s">
        <v>218</v>
      </c>
      <c r="B14" s="5">
        <v>1.0402027980151685</v>
      </c>
      <c r="C14" s="5">
        <v>0.90228143168104047</v>
      </c>
      <c r="D14" s="5">
        <v>0.84348146905919841</v>
      </c>
      <c r="E14" s="5">
        <v>0.83436489903030686</v>
      </c>
    </row>
    <row r="15" spans="1:5" x14ac:dyDescent="0.35">
      <c r="A15" t="s">
        <v>219</v>
      </c>
      <c r="B15" s="5">
        <v>0.5098526475050128</v>
      </c>
      <c r="C15" s="5">
        <v>0.47431542812447947</v>
      </c>
      <c r="D15" s="5">
        <v>0.4575481138357525</v>
      </c>
      <c r="E15" s="5">
        <v>0.45485219405984817</v>
      </c>
    </row>
  </sheetData>
  <mergeCells count="3">
    <mergeCell ref="A2:E2"/>
    <mergeCell ref="A7:E7"/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TLKM_financial_data_IDX</vt:lpstr>
      <vt:lpstr>IS</vt:lpstr>
      <vt:lpstr>BS</vt:lpstr>
      <vt:lpstr>CF</vt:lpstr>
      <vt:lpstr>YoY</vt:lpstr>
      <vt:lpstr>Ratio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Hargreeves</dc:creator>
  <cp:lastModifiedBy>Zain Hargreeves</cp:lastModifiedBy>
  <dcterms:created xsi:type="dcterms:W3CDTF">2026-05-25T03:04:32Z</dcterms:created>
  <dcterms:modified xsi:type="dcterms:W3CDTF">2026-05-25T17:23:04Z</dcterms:modified>
</cp:coreProperties>
</file>